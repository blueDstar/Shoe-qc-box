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hoeQCbox\Shoe_QC_Dual_Shutter_STEP_CAD_BOM_RevA\"/>
    </mc:Choice>
  </mc:AlternateContent>
  <xr:revisionPtr revIDLastSave="0" documentId="13_ncr:1_{C6021491-454B-4D95-888F-4A5FF7301B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TONG_QUAN" sheetId="1" r:id="rId1"/>
    <sheet name="02_CONG_VIEC" sheetId="2" r:id="rId2"/>
    <sheet name="03_GANTT" sheetId="3" r:id="rId3"/>
    <sheet name="04_NHAN_LUC" sheetId="4" r:id="rId4"/>
    <sheet name="05_MOC_RUI_RO" sheetId="5" r:id="rId5"/>
    <sheet name="06_HUONG_DAN" sheetId="6" r:id="rId6"/>
  </sheets>
  <calcPr calcId="191029"/>
</workbook>
</file>

<file path=xl/calcChain.xml><?xml version="1.0" encoding="utf-8"?>
<calcChain xmlns="http://schemas.openxmlformats.org/spreadsheetml/2006/main">
  <c r="F26" i="3" l="1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J8" i="2"/>
  <c r="H8" i="2"/>
  <c r="I8" i="2" s="1"/>
  <c r="J7" i="2"/>
  <c r="H7" i="2"/>
  <c r="I7" i="2" s="1"/>
  <c r="B20" i="1"/>
  <c r="B19" i="1"/>
  <c r="B18" i="1"/>
  <c r="B17" i="1"/>
  <c r="B16" i="1"/>
  <c r="H9" i="2" l="1"/>
  <c r="K7" i="2"/>
  <c r="E7" i="3"/>
  <c r="K8" i="2"/>
  <c r="H13" i="2"/>
  <c r="H11" i="2"/>
  <c r="E8" i="3"/>
  <c r="H14" i="2"/>
  <c r="H12" i="2"/>
  <c r="D8" i="3"/>
  <c r="D7" i="3"/>
  <c r="D11" i="3" l="1"/>
  <c r="J11" i="2"/>
  <c r="I11" i="2"/>
  <c r="AJ8" i="3"/>
  <c r="AB8" i="3"/>
  <c r="T8" i="3"/>
  <c r="L8" i="3"/>
  <c r="AQ8" i="3"/>
  <c r="AI8" i="3"/>
  <c r="AA8" i="3"/>
  <c r="S8" i="3"/>
  <c r="K8" i="3"/>
  <c r="AP8" i="3"/>
  <c r="AH8" i="3"/>
  <c r="Z8" i="3"/>
  <c r="R8" i="3"/>
  <c r="J8" i="3"/>
  <c r="AO8" i="3"/>
  <c r="AG8" i="3"/>
  <c r="Y8" i="3"/>
  <c r="Q8" i="3"/>
  <c r="I8" i="3"/>
  <c r="AN8" i="3"/>
  <c r="AF8" i="3"/>
  <c r="X8" i="3"/>
  <c r="P8" i="3"/>
  <c r="H8" i="3"/>
  <c r="AM8" i="3"/>
  <c r="AE8" i="3"/>
  <c r="W8" i="3"/>
  <c r="O8" i="3"/>
  <c r="AL8" i="3"/>
  <c r="AD8" i="3"/>
  <c r="V8" i="3"/>
  <c r="N8" i="3"/>
  <c r="AK8" i="3"/>
  <c r="AC8" i="3"/>
  <c r="U8" i="3"/>
  <c r="M8" i="3"/>
  <c r="J13" i="2"/>
  <c r="D13" i="3"/>
  <c r="I13" i="2"/>
  <c r="J12" i="2"/>
  <c r="I12" i="2"/>
  <c r="D12" i="3"/>
  <c r="AQ7" i="3"/>
  <c r="AI7" i="3"/>
  <c r="AA7" i="3"/>
  <c r="S7" i="3"/>
  <c r="K7" i="3"/>
  <c r="AP7" i="3"/>
  <c r="AH7" i="3"/>
  <c r="Z7" i="3"/>
  <c r="R7" i="3"/>
  <c r="J7" i="3"/>
  <c r="AO7" i="3"/>
  <c r="AG7" i="3"/>
  <c r="Y7" i="3"/>
  <c r="Q7" i="3"/>
  <c r="I7" i="3"/>
  <c r="AN7" i="3"/>
  <c r="AF7" i="3"/>
  <c r="X7" i="3"/>
  <c r="P7" i="3"/>
  <c r="H7" i="3"/>
  <c r="AM7" i="3"/>
  <c r="AE7" i="3"/>
  <c r="W7" i="3"/>
  <c r="O7" i="3"/>
  <c r="AL7" i="3"/>
  <c r="AD7" i="3"/>
  <c r="V7" i="3"/>
  <c r="N7" i="3"/>
  <c r="AK7" i="3"/>
  <c r="AC7" i="3"/>
  <c r="U7" i="3"/>
  <c r="M7" i="3"/>
  <c r="AJ7" i="3"/>
  <c r="AB7" i="3"/>
  <c r="T7" i="3"/>
  <c r="L7" i="3"/>
  <c r="J14" i="2"/>
  <c r="I14" i="2"/>
  <c r="D14" i="3"/>
  <c r="D9" i="3"/>
  <c r="J9" i="2"/>
  <c r="I9" i="2"/>
  <c r="E9" i="3" l="1"/>
  <c r="K9" i="2"/>
  <c r="H10" i="2"/>
  <c r="E11" i="3"/>
  <c r="AM11" i="3" s="1"/>
  <c r="K11" i="2"/>
  <c r="AK9" i="3"/>
  <c r="AC9" i="3"/>
  <c r="U9" i="3"/>
  <c r="M9" i="3"/>
  <c r="AO9" i="3"/>
  <c r="AF9" i="3"/>
  <c r="W9" i="3"/>
  <c r="N9" i="3"/>
  <c r="AN9" i="3"/>
  <c r="AE9" i="3"/>
  <c r="V9" i="3"/>
  <c r="L9" i="3"/>
  <c r="AM9" i="3"/>
  <c r="AD9" i="3"/>
  <c r="T9" i="3"/>
  <c r="K9" i="3"/>
  <c r="AL9" i="3"/>
  <c r="AB9" i="3"/>
  <c r="S9" i="3"/>
  <c r="J9" i="3"/>
  <c r="AJ9" i="3"/>
  <c r="AA9" i="3"/>
  <c r="R9" i="3"/>
  <c r="I9" i="3"/>
  <c r="AI9" i="3"/>
  <c r="Z9" i="3"/>
  <c r="Q9" i="3"/>
  <c r="H9" i="3"/>
  <c r="AQ9" i="3"/>
  <c r="AH9" i="3"/>
  <c r="Y9" i="3"/>
  <c r="P9" i="3"/>
  <c r="AP9" i="3"/>
  <c r="AG9" i="3"/>
  <c r="X9" i="3"/>
  <c r="O9" i="3"/>
  <c r="AF12" i="3"/>
  <c r="X12" i="3"/>
  <c r="AL12" i="3"/>
  <c r="AI12" i="3"/>
  <c r="Y12" i="3"/>
  <c r="W12" i="3"/>
  <c r="U12" i="3"/>
  <c r="K12" i="3"/>
  <c r="T12" i="3"/>
  <c r="S12" i="3"/>
  <c r="I12" i="3"/>
  <c r="R12" i="3"/>
  <c r="AJ12" i="3"/>
  <c r="Z12" i="3"/>
  <c r="E13" i="3"/>
  <c r="AO13" i="3" s="1"/>
  <c r="K13" i="2"/>
  <c r="T14" i="3"/>
  <c r="L14" i="3"/>
  <c r="Z14" i="3"/>
  <c r="AF14" i="3"/>
  <c r="X14" i="3"/>
  <c r="P14" i="3"/>
  <c r="AO14" i="3"/>
  <c r="AA14" i="3"/>
  <c r="N14" i="3"/>
  <c r="AL14" i="3"/>
  <c r="M14" i="3"/>
  <c r="AI14" i="3"/>
  <c r="V14" i="3"/>
  <c r="I14" i="3"/>
  <c r="U14" i="3"/>
  <c r="AD14" i="3"/>
  <c r="Q14" i="3"/>
  <c r="E12" i="3"/>
  <c r="AD12" i="3" s="1"/>
  <c r="K12" i="2"/>
  <c r="H18" i="2"/>
  <c r="K14" i="2"/>
  <c r="E14" i="3"/>
  <c r="R14" i="3" s="1"/>
  <c r="AQ13" i="3"/>
  <c r="AI13" i="3"/>
  <c r="AA13" i="3"/>
  <c r="S13" i="3"/>
  <c r="Y13" i="3"/>
  <c r="Q13" i="3"/>
  <c r="I13" i="3"/>
  <c r="AM13" i="3"/>
  <c r="AE13" i="3"/>
  <c r="W13" i="3"/>
  <c r="AC13" i="3"/>
  <c r="P13" i="3"/>
  <c r="AN13" i="3"/>
  <c r="AB13" i="3"/>
  <c r="N13" i="3"/>
  <c r="AL13" i="3"/>
  <c r="AK13" i="3"/>
  <c r="X13" i="3"/>
  <c r="L13" i="3"/>
  <c r="AJ13" i="3"/>
  <c r="V13" i="3"/>
  <c r="K13" i="3"/>
  <c r="J13" i="3"/>
  <c r="AF13" i="3"/>
  <c r="T13" i="3"/>
  <c r="H13" i="3"/>
  <c r="AD13" i="3"/>
  <c r="R13" i="3"/>
  <c r="AK11" i="3"/>
  <c r="M11" i="3"/>
  <c r="AO11" i="3"/>
  <c r="I11" i="3"/>
  <c r="AL11" i="3"/>
  <c r="AJ11" i="3"/>
  <c r="N11" i="3"/>
  <c r="L11" i="3"/>
  <c r="X11" i="3" l="1"/>
  <c r="Q11" i="3"/>
  <c r="S11" i="3"/>
  <c r="U11" i="3"/>
  <c r="AG14" i="3"/>
  <c r="Y14" i="3"/>
  <c r="H14" i="3"/>
  <c r="AH14" i="3"/>
  <c r="AB12" i="3"/>
  <c r="AE12" i="3"/>
  <c r="AH12" i="3"/>
  <c r="H12" i="3"/>
  <c r="AH11" i="3"/>
  <c r="AA11" i="3"/>
  <c r="AD11" i="3"/>
  <c r="AC11" i="3"/>
  <c r="AP14" i="3"/>
  <c r="O12" i="3"/>
  <c r="AM12" i="3"/>
  <c r="AP12" i="3"/>
  <c r="M12" i="3"/>
  <c r="P12" i="3"/>
  <c r="J10" i="2"/>
  <c r="D10" i="3"/>
  <c r="I10" i="2"/>
  <c r="H11" i="3"/>
  <c r="V11" i="3"/>
  <c r="T11" i="3"/>
  <c r="AQ14" i="3"/>
  <c r="K14" i="3"/>
  <c r="AM14" i="3"/>
  <c r="AN14" i="3"/>
  <c r="AB14" i="3"/>
  <c r="Q12" i="3"/>
  <c r="AC12" i="3"/>
  <c r="AG12" i="3"/>
  <c r="N12" i="3"/>
  <c r="AN12" i="3"/>
  <c r="R11" i="3"/>
  <c r="W11" i="3"/>
  <c r="P11" i="3"/>
  <c r="AB11" i="3"/>
  <c r="AE11" i="3"/>
  <c r="U13" i="3"/>
  <c r="M13" i="3"/>
  <c r="AP13" i="3"/>
  <c r="AG13" i="3"/>
  <c r="S14" i="3"/>
  <c r="O14" i="3"/>
  <c r="AJ14" i="3"/>
  <c r="AA12" i="3"/>
  <c r="AO12" i="3"/>
  <c r="AQ12" i="3"/>
  <c r="V12" i="3"/>
  <c r="K11" i="3"/>
  <c r="Y11" i="3"/>
  <c r="J11" i="3"/>
  <c r="O11" i="3"/>
  <c r="AI11" i="3"/>
  <c r="AG11" i="3"/>
  <c r="AF11" i="3"/>
  <c r="W14" i="3"/>
  <c r="J14" i="3"/>
  <c r="AQ11" i="3"/>
  <c r="Z11" i="3"/>
  <c r="AN11" i="3"/>
  <c r="AP11" i="3"/>
  <c r="AH13" i="3"/>
  <c r="Z13" i="3"/>
  <c r="O13" i="3"/>
  <c r="D18" i="3"/>
  <c r="J18" i="2"/>
  <c r="I18" i="2"/>
  <c r="AE14" i="3"/>
  <c r="AK14" i="3"/>
  <c r="AC14" i="3"/>
  <c r="AK12" i="3"/>
  <c r="J12" i="3"/>
  <c r="L12" i="3"/>
  <c r="AJ10" i="3" l="1"/>
  <c r="AN10" i="3"/>
  <c r="AC10" i="3"/>
  <c r="T10" i="3"/>
  <c r="J10" i="3"/>
  <c r="AK10" i="3"/>
  <c r="AA10" i="3"/>
  <c r="R10" i="3"/>
  <c r="H10" i="3"/>
  <c r="AH10" i="3"/>
  <c r="Y10" i="3"/>
  <c r="P10" i="3"/>
  <c r="AP10" i="3"/>
  <c r="AF10" i="3"/>
  <c r="W10" i="3"/>
  <c r="M10" i="3"/>
  <c r="AN18" i="3"/>
  <c r="AF18" i="3"/>
  <c r="X18" i="3"/>
  <c r="P18" i="3"/>
  <c r="AL18" i="3"/>
  <c r="AD18" i="3"/>
  <c r="V18" i="3"/>
  <c r="N18" i="3"/>
  <c r="AJ18" i="3"/>
  <c r="AB18" i="3"/>
  <c r="T18" i="3"/>
  <c r="AK18" i="3"/>
  <c r="Y18" i="3"/>
  <c r="K18" i="3"/>
  <c r="AI18" i="3"/>
  <c r="W18" i="3"/>
  <c r="J18" i="3"/>
  <c r="AH18" i="3"/>
  <c r="I18" i="3"/>
  <c r="AG18" i="3"/>
  <c r="S18" i="3"/>
  <c r="AQ18" i="3"/>
  <c r="AE18" i="3"/>
  <c r="R18" i="3"/>
  <c r="AP18" i="3"/>
  <c r="Q18" i="3"/>
  <c r="AO18" i="3"/>
  <c r="AA18" i="3"/>
  <c r="O18" i="3"/>
  <c r="AM18" i="3"/>
  <c r="Z18" i="3"/>
  <c r="M18" i="3"/>
  <c r="E18" i="3"/>
  <c r="H18" i="3" s="1"/>
  <c r="K18" i="2"/>
  <c r="E10" i="3"/>
  <c r="AL10" i="3" s="1"/>
  <c r="H15" i="2"/>
  <c r="K10" i="2"/>
  <c r="H16" i="2"/>
  <c r="N10" i="3" l="1"/>
  <c r="J16" i="2"/>
  <c r="I16" i="2"/>
  <c r="D16" i="3"/>
  <c r="U10" i="3"/>
  <c r="X10" i="3"/>
  <c r="Z10" i="3"/>
  <c r="AB10" i="3"/>
  <c r="V10" i="3"/>
  <c r="D15" i="3"/>
  <c r="J15" i="2"/>
  <c r="I15" i="2"/>
  <c r="L10" i="3"/>
  <c r="O10" i="3"/>
  <c r="Q10" i="3"/>
  <c r="S10" i="3"/>
  <c r="AE10" i="3"/>
  <c r="AG10" i="3"/>
  <c r="AI10" i="3"/>
  <c r="AM10" i="3"/>
  <c r="AD10" i="3"/>
  <c r="AC18" i="3"/>
  <c r="U18" i="3"/>
  <c r="L18" i="3"/>
  <c r="AO10" i="3"/>
  <c r="AQ10" i="3"/>
  <c r="I10" i="3"/>
  <c r="K10" i="3"/>
  <c r="H17" i="2" l="1"/>
  <c r="E15" i="3"/>
  <c r="AA15" i="3" s="1"/>
  <c r="K15" i="2"/>
  <c r="AL16" i="3"/>
  <c r="AD16" i="3"/>
  <c r="V16" i="3"/>
  <c r="N16" i="3"/>
  <c r="AB16" i="3"/>
  <c r="T16" i="3"/>
  <c r="L16" i="3"/>
  <c r="AP16" i="3"/>
  <c r="AH16" i="3"/>
  <c r="Z16" i="3"/>
  <c r="R16" i="3"/>
  <c r="AN16" i="3"/>
  <c r="AA16" i="3"/>
  <c r="O16" i="3"/>
  <c r="AM16" i="3"/>
  <c r="Y16" i="3"/>
  <c r="M16" i="3"/>
  <c r="AK16" i="3"/>
  <c r="K16" i="3"/>
  <c r="AI16" i="3"/>
  <c r="W16" i="3"/>
  <c r="I16" i="3"/>
  <c r="AG16" i="3"/>
  <c r="U16" i="3"/>
  <c r="H16" i="3"/>
  <c r="S16" i="3"/>
  <c r="AQ16" i="3"/>
  <c r="AE16" i="3"/>
  <c r="Q16" i="3"/>
  <c r="AO16" i="3"/>
  <c r="AC16" i="3"/>
  <c r="P16" i="3"/>
  <c r="E16" i="3"/>
  <c r="AJ16" i="3" s="1"/>
  <c r="K16" i="2"/>
  <c r="AK15" i="3"/>
  <c r="AC15" i="3"/>
  <c r="U15" i="3"/>
  <c r="M15" i="3"/>
  <c r="AQ15" i="3"/>
  <c r="AI15" i="3"/>
  <c r="S15" i="3"/>
  <c r="K15" i="3"/>
  <c r="AO15" i="3"/>
  <c r="AG15" i="3"/>
  <c r="Y15" i="3"/>
  <c r="Q15" i="3"/>
  <c r="I15" i="3"/>
  <c r="AB15" i="3"/>
  <c r="O15" i="3"/>
  <c r="AM15" i="3"/>
  <c r="Z15" i="3"/>
  <c r="N15" i="3"/>
  <c r="AL15" i="3"/>
  <c r="X15" i="3"/>
  <c r="AJ15" i="3"/>
  <c r="W15" i="3"/>
  <c r="J15" i="3"/>
  <c r="AH15" i="3"/>
  <c r="V15" i="3"/>
  <c r="H15" i="3"/>
  <c r="AF15" i="3"/>
  <c r="AE15" i="3"/>
  <c r="R15" i="3"/>
  <c r="AP15" i="3"/>
  <c r="AD15" i="3"/>
  <c r="P15" i="3"/>
  <c r="T15" i="3" l="1"/>
  <c r="L15" i="3"/>
  <c r="AN15" i="3"/>
  <c r="AF16" i="3"/>
  <c r="X16" i="3"/>
  <c r="J16" i="3"/>
  <c r="D17" i="3"/>
  <c r="J17" i="2"/>
  <c r="I17" i="2"/>
  <c r="M17" i="3" l="1"/>
  <c r="L17" i="3"/>
  <c r="T17" i="3"/>
  <c r="AB17" i="3"/>
  <c r="H19" i="2"/>
  <c r="E17" i="3"/>
  <c r="AM17" i="3" s="1"/>
  <c r="K17" i="2"/>
  <c r="AG17" i="3" l="1"/>
  <c r="U17" i="3"/>
  <c r="Q17" i="3"/>
  <c r="I17" i="3"/>
  <c r="AL17" i="3"/>
  <c r="AC17" i="3"/>
  <c r="AD17" i="3"/>
  <c r="AK17" i="3"/>
  <c r="R17" i="3"/>
  <c r="AO17" i="3"/>
  <c r="Y17" i="3"/>
  <c r="D19" i="3"/>
  <c r="J19" i="2"/>
  <c r="I19" i="2"/>
  <c r="V17" i="3"/>
  <c r="K17" i="3"/>
  <c r="N17" i="3"/>
  <c r="AP17" i="3"/>
  <c r="AH17" i="3"/>
  <c r="S17" i="3"/>
  <c r="O17" i="3"/>
  <c r="Z17" i="3"/>
  <c r="J17" i="3"/>
  <c r="AA17" i="3"/>
  <c r="W17" i="3"/>
  <c r="AN17" i="3"/>
  <c r="AF17" i="3"/>
  <c r="X17" i="3"/>
  <c r="AI17" i="3"/>
  <c r="AE17" i="3"/>
  <c r="P17" i="3"/>
  <c r="H17" i="3"/>
  <c r="AJ17" i="3"/>
  <c r="AQ17" i="3"/>
  <c r="E19" i="3" l="1"/>
  <c r="K19" i="2"/>
  <c r="H20" i="2"/>
  <c r="AO19" i="3"/>
  <c r="AG19" i="3"/>
  <c r="Y19" i="3"/>
  <c r="Q19" i="3"/>
  <c r="I19" i="3"/>
  <c r="AM19" i="3"/>
  <c r="AE19" i="3"/>
  <c r="W19" i="3"/>
  <c r="O19" i="3"/>
  <c r="AK19" i="3"/>
  <c r="AC19" i="3"/>
  <c r="U19" i="3"/>
  <c r="M19" i="3"/>
  <c r="AI19" i="3"/>
  <c r="V19" i="3"/>
  <c r="J19" i="3"/>
  <c r="AH19" i="3"/>
  <c r="T19" i="3"/>
  <c r="H19" i="3"/>
  <c r="AF19" i="3"/>
  <c r="S19" i="3"/>
  <c r="AQ19" i="3"/>
  <c r="AD19" i="3"/>
  <c r="R19" i="3"/>
  <c r="AP19" i="3"/>
  <c r="AB19" i="3"/>
  <c r="P19" i="3"/>
  <c r="AN19" i="3"/>
  <c r="AA19" i="3"/>
  <c r="N19" i="3"/>
  <c r="AL19" i="3"/>
  <c r="Z19" i="3"/>
  <c r="L19" i="3"/>
  <c r="AJ19" i="3"/>
  <c r="X19" i="3"/>
  <c r="K19" i="3"/>
  <c r="D20" i="3" l="1"/>
  <c r="J20" i="2"/>
  <c r="I20" i="2"/>
  <c r="E20" i="3" l="1"/>
  <c r="K20" i="2"/>
  <c r="H21" i="2"/>
  <c r="AP20" i="3"/>
  <c r="AH20" i="3"/>
  <c r="Z20" i="3"/>
  <c r="R20" i="3"/>
  <c r="J20" i="3"/>
  <c r="AN20" i="3"/>
  <c r="AF20" i="3"/>
  <c r="X20" i="3"/>
  <c r="P20" i="3"/>
  <c r="H20" i="3"/>
  <c r="AL20" i="3"/>
  <c r="AD20" i="3"/>
  <c r="V20" i="3"/>
  <c r="N20" i="3"/>
  <c r="AI20" i="3"/>
  <c r="U20" i="3"/>
  <c r="I20" i="3"/>
  <c r="AG20" i="3"/>
  <c r="T20" i="3"/>
  <c r="AE20" i="3"/>
  <c r="S20" i="3"/>
  <c r="AQ20" i="3"/>
  <c r="AC20" i="3"/>
  <c r="Q20" i="3"/>
  <c r="AO20" i="3"/>
  <c r="AB20" i="3"/>
  <c r="O20" i="3"/>
  <c r="AM20" i="3"/>
  <c r="AA20" i="3"/>
  <c r="M20" i="3"/>
  <c r="AK20" i="3"/>
  <c r="Y20" i="3"/>
  <c r="L20" i="3"/>
  <c r="AJ20" i="3"/>
  <c r="W20" i="3"/>
  <c r="K20" i="3"/>
  <c r="J21" i="2" l="1"/>
  <c r="I21" i="2"/>
  <c r="D21" i="3"/>
  <c r="S21" i="3" l="1"/>
  <c r="AM21" i="3"/>
  <c r="AE21" i="3"/>
  <c r="U21" i="3"/>
  <c r="AJ21" i="3"/>
  <c r="M21" i="3"/>
  <c r="AB21" i="3"/>
  <c r="E21" i="3"/>
  <c r="AL21" i="3" s="1"/>
  <c r="K21" i="2"/>
  <c r="H22" i="2"/>
  <c r="J22" i="2" l="1"/>
  <c r="I22" i="2"/>
  <c r="D22" i="3"/>
  <c r="H21" i="3"/>
  <c r="AF21" i="3"/>
  <c r="Y21" i="3"/>
  <c r="V21" i="3"/>
  <c r="AA21" i="3"/>
  <c r="AC21" i="3"/>
  <c r="I21" i="3"/>
  <c r="Q21" i="3"/>
  <c r="J21" i="3"/>
  <c r="N21" i="3"/>
  <c r="R21" i="3"/>
  <c r="AH21" i="3"/>
  <c r="AD21" i="3"/>
  <c r="AK21" i="3"/>
  <c r="AI21" i="3"/>
  <c r="P21" i="3"/>
  <c r="AQ21" i="3"/>
  <c r="X21" i="3"/>
  <c r="Z21" i="3"/>
  <c r="AN21" i="3"/>
  <c r="AG21" i="3"/>
  <c r="AP21" i="3"/>
  <c r="O21" i="3"/>
  <c r="AO21" i="3"/>
  <c r="L21" i="3"/>
  <c r="T21" i="3"/>
  <c r="W21" i="3"/>
  <c r="K21" i="3"/>
  <c r="L22" i="3" l="1"/>
  <c r="X22" i="3"/>
  <c r="AA22" i="3"/>
  <c r="U22" i="3"/>
  <c r="H23" i="2"/>
  <c r="K22" i="2"/>
  <c r="E22" i="3"/>
  <c r="AM22" i="3" s="1"/>
  <c r="AQ22" i="3" l="1"/>
  <c r="V22" i="3"/>
  <c r="M22" i="3"/>
  <c r="AN22" i="3"/>
  <c r="AB22" i="3"/>
  <c r="I22" i="3"/>
  <c r="AK22" i="3"/>
  <c r="AF22" i="3"/>
  <c r="T22" i="3"/>
  <c r="D23" i="3"/>
  <c r="J23" i="2"/>
  <c r="I23" i="2"/>
  <c r="AL22" i="3"/>
  <c r="AC22" i="3"/>
  <c r="J22" i="3"/>
  <c r="AJ22" i="3"/>
  <c r="Q22" i="3"/>
  <c r="N22" i="3"/>
  <c r="R22" i="3"/>
  <c r="O22" i="3"/>
  <c r="AG22" i="3"/>
  <c r="Y22" i="3"/>
  <c r="AD22" i="3"/>
  <c r="Z22" i="3"/>
  <c r="W22" i="3"/>
  <c r="S22" i="3"/>
  <c r="AO22" i="3"/>
  <c r="H22" i="3"/>
  <c r="AH22" i="3"/>
  <c r="AE22" i="3"/>
  <c r="AI22" i="3"/>
  <c r="K22" i="3"/>
  <c r="P22" i="3"/>
  <c r="AP22" i="3"/>
  <c r="E23" i="3" l="1"/>
  <c r="H24" i="2"/>
  <c r="K23" i="2"/>
  <c r="AN23" i="3"/>
  <c r="AF23" i="3"/>
  <c r="X23" i="3"/>
  <c r="P23" i="3"/>
  <c r="H23" i="3"/>
  <c r="AM23" i="3"/>
  <c r="AE23" i="3"/>
  <c r="W23" i="3"/>
  <c r="O23" i="3"/>
  <c r="AK23" i="3"/>
  <c r="AC23" i="3"/>
  <c r="U23" i="3"/>
  <c r="M23" i="3"/>
  <c r="AQ23" i="3"/>
  <c r="AI23" i="3"/>
  <c r="AA23" i="3"/>
  <c r="S23" i="3"/>
  <c r="K23" i="3"/>
  <c r="AO23" i="3"/>
  <c r="AG23" i="3"/>
  <c r="Y23" i="3"/>
  <c r="Q23" i="3"/>
  <c r="I23" i="3"/>
  <c r="AB23" i="3"/>
  <c r="Z23" i="3"/>
  <c r="V23" i="3"/>
  <c r="AP23" i="3"/>
  <c r="T23" i="3"/>
  <c r="AL23" i="3"/>
  <c r="R23" i="3"/>
  <c r="AJ23" i="3"/>
  <c r="N23" i="3"/>
  <c r="AH23" i="3"/>
  <c r="L23" i="3"/>
  <c r="AD23" i="3"/>
  <c r="J23" i="3"/>
  <c r="D24" i="3" l="1"/>
  <c r="J24" i="2"/>
  <c r="I24" i="2"/>
  <c r="E24" i="3" l="1"/>
  <c r="H25" i="2"/>
  <c r="K24" i="2"/>
  <c r="AO24" i="3"/>
  <c r="AG24" i="3"/>
  <c r="Y24" i="3"/>
  <c r="Q24" i="3"/>
  <c r="I24" i="3"/>
  <c r="AN24" i="3"/>
  <c r="AF24" i="3"/>
  <c r="X24" i="3"/>
  <c r="P24" i="3"/>
  <c r="H24" i="3"/>
  <c r="AL24" i="3"/>
  <c r="AD24" i="3"/>
  <c r="V24" i="3"/>
  <c r="N24" i="3"/>
  <c r="AJ24" i="3"/>
  <c r="AB24" i="3"/>
  <c r="T24" i="3"/>
  <c r="L24" i="3"/>
  <c r="AP24" i="3"/>
  <c r="AH24" i="3"/>
  <c r="Z24" i="3"/>
  <c r="R24" i="3"/>
  <c r="J24" i="3"/>
  <c r="AE24" i="3"/>
  <c r="K24" i="3"/>
  <c r="AC24" i="3"/>
  <c r="AA24" i="3"/>
  <c r="W24" i="3"/>
  <c r="AQ24" i="3"/>
  <c r="U24" i="3"/>
  <c r="AM24" i="3"/>
  <c r="S24" i="3"/>
  <c r="AK24" i="3"/>
  <c r="O24" i="3"/>
  <c r="AI24" i="3"/>
  <c r="M24" i="3"/>
  <c r="D25" i="3" l="1"/>
  <c r="J25" i="2"/>
  <c r="I25" i="2"/>
  <c r="E25" i="3" l="1"/>
  <c r="H26" i="2"/>
  <c r="K25" i="2"/>
  <c r="AP25" i="3"/>
  <c r="AH25" i="3"/>
  <c r="Z25" i="3"/>
  <c r="R25" i="3"/>
  <c r="J25" i="3"/>
  <c r="AO25" i="3"/>
  <c r="AG25" i="3"/>
  <c r="Y25" i="3"/>
  <c r="Q25" i="3"/>
  <c r="I25" i="3"/>
  <c r="AM25" i="3"/>
  <c r="AE25" i="3"/>
  <c r="W25" i="3"/>
  <c r="O25" i="3"/>
  <c r="AK25" i="3"/>
  <c r="AC25" i="3"/>
  <c r="U25" i="3"/>
  <c r="M25" i="3"/>
  <c r="AQ25" i="3"/>
  <c r="AI25" i="3"/>
  <c r="AA25" i="3"/>
  <c r="S25" i="3"/>
  <c r="K25" i="3"/>
  <c r="AF25" i="3"/>
  <c r="L25" i="3"/>
  <c r="AD25" i="3"/>
  <c r="H25" i="3"/>
  <c r="AB25" i="3"/>
  <c r="X25" i="3"/>
  <c r="V25" i="3"/>
  <c r="AN25" i="3"/>
  <c r="T25" i="3"/>
  <c r="AL25" i="3"/>
  <c r="P25" i="3"/>
  <c r="AJ25" i="3"/>
  <c r="N25" i="3"/>
  <c r="D26" i="3" l="1"/>
  <c r="J26" i="2"/>
  <c r="I26" i="2"/>
  <c r="E26" i="3" l="1"/>
  <c r="K26" i="2"/>
  <c r="B14" i="1"/>
  <c r="AQ26" i="3"/>
  <c r="AI26" i="3"/>
  <c r="AA26" i="3"/>
  <c r="S26" i="3"/>
  <c r="K26" i="3"/>
  <c r="AP26" i="3"/>
  <c r="AH26" i="3"/>
  <c r="Z26" i="3"/>
  <c r="R26" i="3"/>
  <c r="J26" i="3"/>
  <c r="AO26" i="3"/>
  <c r="AN26" i="3"/>
  <c r="AF26" i="3"/>
  <c r="X26" i="3"/>
  <c r="P26" i="3"/>
  <c r="H26" i="3"/>
  <c r="AM26" i="3"/>
  <c r="AE26" i="3"/>
  <c r="W26" i="3"/>
  <c r="O26" i="3"/>
  <c r="AL26" i="3"/>
  <c r="AD26" i="3"/>
  <c r="V26" i="3"/>
  <c r="N26" i="3"/>
  <c r="AK26" i="3"/>
  <c r="AC26" i="3"/>
  <c r="U26" i="3"/>
  <c r="M26" i="3"/>
  <c r="AJ26" i="3"/>
  <c r="AB26" i="3"/>
  <c r="T26" i="3"/>
  <c r="L26" i="3"/>
  <c r="AG26" i="3"/>
  <c r="Y26" i="3"/>
  <c r="Q26" i="3"/>
  <c r="I26" i="3"/>
  <c r="B15" i="1" l="1"/>
  <c r="B25" i="1"/>
</calcChain>
</file>

<file path=xl/sharedStrings.xml><?xml version="1.0" encoding="utf-8"?>
<sst xmlns="http://schemas.openxmlformats.org/spreadsheetml/2006/main" count="515" uniqueCount="341">
  <si>
    <t>SHOE QC BOX | KẾ HOẠCH SẢN XUẤT NHANH</t>
  </si>
  <si>
    <t>Rev A • 1 prototype • thời gian NGÀY LÀM VIỆC • mốc gốc khởi động ngày 12/10/2026</t>
  </si>
  <si>
    <t>THÔNG SỐ ĐIỀU ĐỘ</t>
  </si>
  <si>
    <t>GIÁ TRỊ</t>
  </si>
  <si>
    <t>GHI CHÚ</t>
  </si>
  <si>
    <t>Ngày khởi động</t>
  </si>
  <si>
    <t>Thứ hai sau ngày 10/10/2026; có thể sửa ngày</t>
  </si>
  <si>
    <t>Số ngày làm việc/tuần</t>
  </si>
  <si>
    <t>Thứ 2 đến thứ 6; không bao gồm các ngày lễ</t>
  </si>
  <si>
    <t>Giờ làm việc/ngày</t>
  </si>
  <si>
    <t>Quy đổi nhân công; không phải thời gian cycle cửa</t>
  </si>
  <si>
    <t>Số bộ prototype</t>
  </si>
  <si>
    <t>BOM và kế hoạch cho một bộ</t>
  </si>
  <si>
    <t>Điều kiện tăng tốc</t>
  </si>
  <si>
    <t>Vật tư có sẵn, xưởng ưu tiên</t>
  </si>
  <si>
    <t>Chọn mua và phát hành drawing sớm</t>
  </si>
  <si>
    <t>Mức tin cậy lịch</t>
  </si>
  <si>
    <t>Ước tính – chưa có PO</t>
  </si>
  <si>
    <t>Cập nhật lead time sau khi có đơn hàng</t>
  </si>
  <si>
    <t>CHỈ TIÊU TIẾN ĐỘ</t>
  </si>
  <si>
    <t>ĐƠN VỊ</t>
  </si>
  <si>
    <t>Ý NGHĨA</t>
  </si>
  <si>
    <t>Tổng khối lượng lịch</t>
  </si>
  <si>
    <t>ngày LV</t>
  </si>
  <si>
    <t>Theo phụ thuộc công việc, không cộng thẳng duration</t>
  </si>
  <si>
    <t>Ngày hoàn thành dự kiến</t>
  </si>
  <si>
    <t>ngày</t>
  </si>
  <si>
    <t>T2–T6, chưa trừ ngày lễ</t>
  </si>
  <si>
    <t>Số hạng mục công việc</t>
  </si>
  <si>
    <t>task</t>
  </si>
  <si>
    <t>Gồm thiết kế, mua hàng, gia công, lắp, QC</t>
  </si>
  <si>
    <t>Đã hoàn thành</t>
  </si>
  <si>
    <t>Nhập trạng thái ở sheet 02_CONG_VIEC</t>
  </si>
  <si>
    <t>Đang làm</t>
  </si>
  <si>
    <t>Trạng thái đang thực hiện</t>
  </si>
  <si>
    <t>Task bị chậm / bị chặn</t>
  </si>
  <si>
    <t>Ưu tiên xử lý ngay</t>
  </si>
  <si>
    <t>Tiến độ weighted theo ngày LV</t>
  </si>
  <si>
    <t>%</t>
  </si>
  <si>
    <t>Nhập % hoàn thành tại mỗi task</t>
  </si>
  <si>
    <t>KỊCH BẢN</t>
  </si>
  <si>
    <t>NGÀY LV</t>
  </si>
  <si>
    <t>ƯỚC TÍNH</t>
  </si>
  <si>
    <t>ĐIỀU KIỆN</t>
  </si>
  <si>
    <t>Fast-track</t>
  </si>
  <si>
    <t>18–20</t>
  </si>
  <si>
    <t>~4 tuần lịch</t>
  </si>
  <si>
    <t>Có sẵn actuator/rail, nhà xưởng ưu tiên, giảm thời gian chờ</t>
  </si>
  <si>
    <t>Base plan</t>
  </si>
  <si>
    <t>~5 tuần lịch</t>
  </si>
  <si>
    <t>Theo network phụ thuộc công việc, không nghỉ lễ</t>
  </si>
  <si>
    <t>Chậm hàng / sửa CAD</t>
  </si>
  <si>
    <t>30–35</t>
  </si>
  <si>
    <t>~6–7 tuần lịch</t>
  </si>
  <si>
    <t>Actuator thiếu kho, sửa bracket, QC lỗi</t>
  </si>
  <si>
    <t>ĐƯỜNG GĂNG CẦN THEO DÕI: chốt actuator/rail → CAD release → nhận linh kiện/gia công → lắp ray/cửa → điều khiển liên động → kiểm tra chống rơi/va chạm → FAT. Lead time của NCC chưa cam kết.</t>
  </si>
  <si>
    <t>CHỈ TEST TỰ ĐỘNG TRÊN MÁY THẬT khi đã đánh giá nguy cơ kẹp và chống rơi; logic mô phỏng không thay thế chức năng an toàn công nghiệp được thẩm định.</t>
  </si>
  <si>
    <t>KẾ HOẠCH SẢN XUẤT | SHOE QC BOX</t>
  </si>
  <si>
    <t>01 prototype Rev A • NGÀY LÀM VIỆC (T2–T6), chưa tính ngày lễ • các việc liên quan tính theo phụ thuộc</t>
  </si>
  <si>
    <t>Mã</t>
  </si>
  <si>
    <t>Công việc</t>
  </si>
  <si>
    <t>Giai đoạn</t>
  </si>
  <si>
    <t>Phụ trách</t>
  </si>
  <si>
    <t>Thời lượng (ngày LV)</t>
  </si>
  <si>
    <t>Tiền nhiệm 1</t>
  </si>
  <si>
    <t>Tiền nhiệm 2</t>
  </si>
  <si>
    <t>Bắt đầu (ngày thứ)</t>
  </si>
  <si>
    <t>Kết thúc (ngày thứ)</t>
  </si>
  <si>
    <t>Ngày bắt đầu</t>
  </si>
  <si>
    <t>Ngày kết thúc</t>
  </si>
  <si>
    <t>Bàn giao / mốc kiểm</t>
  </si>
  <si>
    <t>Trạng thái</t>
  </si>
  <si>
    <t>Hoàn thành %</t>
  </si>
  <si>
    <t>Phụ thuộc / lưu ý</t>
  </si>
  <si>
    <t>T01</t>
  </si>
  <si>
    <t>Chốt CAD Rev A / drawing &amp; khoảng hở giày</t>
  </si>
  <si>
    <t>Thiết kế</t>
  </si>
  <si>
    <t>Mechanical Engineer</t>
  </si>
  <si>
    <t>Gói CAD duyệt</t>
  </si>
  <si>
    <t>Chưa bắt đầu</t>
  </si>
  <si>
    <t>Chốt các lỗ gá ray &amp; actuator cùng spec</t>
  </si>
  <si>
    <t>T02</t>
  </si>
  <si>
    <t>Gửi RFQ và xác minh tồn kho</t>
  </si>
  <si>
    <t>Mua hàng</t>
  </si>
  <si>
    <t>Procurement</t>
  </si>
  <si>
    <t>RFQ ít nhất 2 nhà cung cấp</t>
  </si>
  <si>
    <t>Đặt ưu tiên ray, block, actuator 350mm</t>
  </si>
  <si>
    <t>T03</t>
  </si>
  <si>
    <t>Duyệt actuator: tải, tốc độ, chống rơi</t>
  </si>
  <si>
    <t>Mechanical + Safety</t>
  </si>
  <si>
    <t>Biên bản xác nhận truyền động</t>
  </si>
  <si>
    <t>10mm/s có thể quá chậm; chưa chứng minh an toàn</t>
  </si>
  <si>
    <t>T04</t>
  </si>
  <si>
    <t>Phát hành drawing cho xưởng</t>
  </si>
  <si>
    <t>Drawing release</t>
  </si>
  <si>
    <t>Không phát hành trước khi chốt lỗ bắt</t>
  </si>
  <si>
    <t>T05</t>
  </si>
  <si>
    <t>Nhận vật liệu nhôm, thép và phụ kiện</t>
  </si>
  <si>
    <t>Phiếu nhập NVL</t>
  </si>
  <si>
    <t>Lead time 3 ngày LV là giả định kho nội địa</t>
  </si>
  <si>
    <t>T06</t>
  </si>
  <si>
    <t>Nhận ray dẫn hướng + block</t>
  </si>
  <si>
    <t>4 rail + 8 block</t>
  </si>
  <si>
    <t>Yêu cầu đo đúng lỗ gá block thực</t>
  </si>
  <si>
    <t>T07</t>
  </si>
  <si>
    <t>Nhận 2 actuator 24V stroke 350mm</t>
  </si>
  <si>
    <t>2 actuator + catalog + test</t>
  </si>
  <si>
    <t>Lead time 8 ngày LV GIẢ ĐỊNH, xác nhận PO</t>
  </si>
  <si>
    <t>T08</t>
  </si>
  <si>
    <t>Nhận điện, sensor, vật tư an toàn</t>
  </si>
  <si>
    <t>PLC/relay/sensor đã đủ</t>
  </si>
  <si>
    <t>Chỉ điện điều khiển cửa, chưa phải hệ safety-certified</t>
  </si>
  <si>
    <t>T09</t>
  </si>
  <si>
    <t>Laser cắt 6 tấm vỏ và 2 cửa</t>
  </si>
  <si>
    <t>Gia công</t>
  </si>
  <si>
    <t>Laser Supplier</t>
  </si>
  <si>
    <t>Tấm cắt theo Rev A</t>
  </si>
  <si>
    <t>Bố trí nesting &amp; lỗ cửa theo STEP</t>
  </si>
  <si>
    <t>T10</t>
  </si>
  <si>
    <t>Gia công bracket, trụ ray, thanh giằng</t>
  </si>
  <si>
    <t>Machine Shop</t>
  </si>
  <si>
    <t>Brackets &amp; frame ready</t>
  </si>
  <si>
    <t>Cần dùng catalog ray/actuator chốt</t>
  </si>
  <si>
    <t>T11</t>
  </si>
  <si>
    <t>Xử lý ba via / sơn / kiểm tra part</t>
  </si>
  <si>
    <t>Part QA OK</t>
  </si>
  <si>
    <t>Sơn và anodize nếu yêu cầu; tránh làm lệch kích thước lắp</t>
  </si>
  <si>
    <t>T12</t>
  </si>
  <si>
    <t>IQC actuator, rail, sensor đầu vào</t>
  </si>
  <si>
    <t>Kiểm tra</t>
  </si>
  <si>
    <t>QC Engineer</t>
  </si>
  <si>
    <t>IQC đầu vào đạt</t>
  </si>
  <si>
    <t>Đo hành trình, chức năng công tắc, 24V</t>
  </si>
  <si>
    <t>T13</t>
  </si>
  <si>
    <t>Lắp khung hộp 6 mặt</t>
  </si>
  <si>
    <t>Lắp ráp</t>
  </si>
  <si>
    <t>Mechanical Technician</t>
  </si>
  <si>
    <t>Box assembled</t>
  </si>
  <si>
    <t>Bảo đảm đủ khẩu độ 380×310 mm</t>
  </si>
  <si>
    <t>T14</t>
  </si>
  <si>
    <t>Căn chỉnh ray / gá block</t>
  </si>
  <si>
    <t>Ray chạy êm, song song</t>
  </si>
  <si>
    <t>Ray cố định, cửa gắn block di chuyển</t>
  </si>
  <si>
    <t>T15</t>
  </si>
  <si>
    <t>Lắp 2 tấm cửa và actuator</t>
  </si>
  <si>
    <t>2 shutters stroke verified</t>
  </si>
  <si>
    <t>Kiểm tra 0–350 mm; chống rơi</t>
  </si>
  <si>
    <t>T16</t>
  </si>
  <si>
    <t>Đi dây sensor, PLC/driver, E-stop</t>
  </si>
  <si>
    <t>Điện/Điều khiển</t>
  </si>
  <si>
    <t>Electrical Engineer</t>
  </si>
  <si>
    <t>Wiring test / I/O list</t>
  </si>
  <si>
    <t>Không dùng chỉ sensor approach để cho phép đóng</t>
  </si>
  <si>
    <t>T17</t>
  </si>
  <si>
    <t>Test động học và interlock trái/phải</t>
  </si>
  <si>
    <t>Controls + QC</t>
  </si>
  <si>
    <t>Protocol kiểm thử cửa</t>
  </si>
  <si>
    <t>Thử mọi tình huống bị chặn đóng</t>
  </si>
  <si>
    <t>T18</t>
  </si>
  <si>
    <t>Test rò sáng, clearance, fail-safe</t>
  </si>
  <si>
    <t>Mechanical + QC</t>
  </si>
  <si>
    <t>Biên bản leak-light / clearance</t>
  </si>
  <si>
    <t>Chưa phải test performance camera</t>
  </si>
  <si>
    <t>T19</t>
  </si>
  <si>
    <t>Chạy thử liên tục và thu log</t>
  </si>
  <si>
    <t>50 cycle log / danh sách lỗi</t>
  </si>
  <si>
    <t>Chưa đủ đánh giá tuổi thọ hàng loạt</t>
  </si>
  <si>
    <t>T20</t>
  </si>
  <si>
    <t>Khắc phục, nghiệm thu &amp; bàn giao</t>
  </si>
  <si>
    <t>Bàn giao</t>
  </si>
  <si>
    <t>PM + Team</t>
  </si>
  <si>
    <t>FAT nội bộ / bàn giao Rev A</t>
  </si>
  <si>
    <t>Chốt vấn đề tồn đọng và điều kiện dùng thật</t>
  </si>
  <si>
    <t>GANTT | 36 NGÀY LÀM VIỆC</t>
  </si>
  <si>
    <t>Biểu đồ lấy trực tiếp từ thời lượng, phụ thuộc và ngày khởi động trong sheet 01/02 • Gantt thay đổi theo dữ liệu</t>
  </si>
  <si>
    <t>GANTT REV A</t>
  </si>
  <si>
    <t>Ngày →</t>
  </si>
  <si>
    <t>ID</t>
  </si>
  <si>
    <t>Đơn vị phụ trách</t>
  </si>
  <si>
    <t>BĐ (ngày LV)</t>
  </si>
  <si>
    <t>KT (ngày LV)</t>
  </si>
  <si>
    <t>Thời lượng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</si>
  <si>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</si>
  <si>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</si>
  <si>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</si>
  <si>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</si>
  <si>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</si>
  <si>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</si>
  <si>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</si>
  <si>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</si>
  <si>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</si>
  <si>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</si>
  <si>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</si>
  <si>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</si>
  <si>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</si>
  <si>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</si>
  <si>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</si>
  <si>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</si>
  <si>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</si>
  <si>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</si>
  <si>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</si>
  <si>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</si>
  <si>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</si>
  <si>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</si>
  <si>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</si>
  <si>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</si>
  <si>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</si>
  <si>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</si>
  <si>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</si>
  <si>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</si>
  <si>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</si>
  <si>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</si>
  <si>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</si>
  <si>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</si>
  <si>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</si>
  <si>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</si>
  <si>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</si>
  <si>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</si>
  <si>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NHÂN SỰ | NĂNG LỰC TỔ ĐỘI</t>
  </si>
  <si>
    <t>Nguồn lực tối thiểu dự kiến cho 1 prototype; không phải bảng chấm công thực tế; đơn giá nhân công nằm ở file BOM</t>
  </si>
  <si>
    <t>Nhóm / vai trò</t>
  </si>
  <si>
    <t>Số người</t>
  </si>
  <si>
    <t>Công việc chính</t>
  </si>
  <si>
    <t>Lượng công dự trù</t>
  </si>
  <si>
    <t>Đơn vị</t>
  </si>
  <si>
    <t>Rủi ro nếu thiếu người</t>
  </si>
  <si>
    <t>Hành động</t>
  </si>
  <si>
    <t>Thiết kế cơ khí</t>
  </si>
  <si>
    <t>CAD release, vị trí ray, chọn actuator</t>
  </si>
  <si>
    <t>ngày công</t>
  </si>
  <si>
    <t>Duyệt CAD trễ → gia công sai lỗ</t>
  </si>
  <si>
    <t>Ưu tiên engineering review vào ngày 1–4</t>
  </si>
  <si>
    <t>RFQ, PO, thúc giao ray/actuator</t>
  </si>
  <si>
    <t>ngày công rải</t>
  </si>
  <si>
    <t>Không mua đồng thời → kéo dài lịch</t>
  </si>
  <si>
    <t>RFQ đồng thời ít nhất 2 bên</t>
  </si>
  <si>
    <t>Xưởng laser / gia công</t>
  </si>
  <si>
    <t>Laser, bracket, hoàn thiện</t>
  </si>
  <si>
    <t>ngày công xưởng</t>
  </si>
  <si>
    <t>Xưởng không giữ slot / tấm thiếu</t>
  </si>
  <si>
    <t>Booking slot trước khi xuất drawing</t>
  </si>
  <si>
    <t>Kỹ thuật lắp cơ khí</t>
  </si>
  <si>
    <t>Lắp khung, chỉnh ray, actuator</t>
  </si>
  <si>
    <t>Ray bị lệch làm kẹt cửa</t>
  </si>
  <si>
    <t>Căn chỉnh với đồng hồ so/ê-ke</t>
  </si>
  <si>
    <t>Kỹ thuật điện &amp; điều khiển</t>
  </si>
  <si>
    <t>Đấu nối sensor, driver, interlock</t>
  </si>
  <si>
    <t>Chưa chốt PLC và dây sensor</t>
  </si>
  <si>
    <t>I/O list trước khi đấu</t>
  </si>
  <si>
    <t>QC / kỹ thuật an toàn</t>
  </si>
  <si>
    <t>IQC, test cửa, clearance, FAT</t>
  </si>
  <si>
    <t>Không hoàn thành safety review</t>
  </si>
  <si>
    <t>Checklist từng trạng thái</t>
  </si>
  <si>
    <t>LIÊN KẾT NGÂN SÁCH</t>
  </si>
  <si>
    <t>Trong file BOM chi phí, nhân công chỉ tính phần thi công tại chỗ: 22 giờ cơ khí, 15 giờ điện và 15 giờ nghiệm thu. Ngày công ở đây mô tả khả năng bố trí nguồn lực theo lịch; KHÔNG cộng thêm vào giá thành để tránh double count.</t>
  </si>
  <si>
    <t>MỐC NGHIỆM THU &amp; RỦI RO TIẾN ĐỘ</t>
  </si>
  <si>
    <t>Các cổng kiểm cần ký duyệt trước khi qua bước tiếp theo; dùng cho họp nhanh với sếp và nhà cung cấp</t>
  </si>
  <si>
    <t>Gate</t>
  </si>
  <si>
    <t>Mốc bắt buộc</t>
  </si>
  <si>
    <t>Thời điểm dự kiến</t>
  </si>
  <si>
    <t>Chứng từ / điều kiện đạt</t>
  </si>
  <si>
    <t>Người duyệt</t>
  </si>
  <si>
    <t>Rủi ro</t>
  </si>
  <si>
    <t>Ưu tiên</t>
  </si>
  <si>
    <t>G1</t>
  </si>
  <si>
    <t>Drawing đã khóa</t>
  </si>
  <si>
    <t>BOM và lỗ gá theo catalog, clearance giày và gripper đã đối chiếu</t>
  </si>
  <si>
    <t>Lead Mechanical</t>
  </si>
  <si>
    <t>Đổi model rail/actuator làm lại thiết kế</t>
  </si>
  <si>
    <t>Rất cao</t>
  </si>
  <si>
    <t>Chưa duyệt</t>
  </si>
  <si>
    <t>G2</t>
  </si>
  <si>
    <t>Đã nhận đủ linh kiện trọng yếu</t>
  </si>
  <si>
    <t>Ray, block, actuator, nguồn và sensor được IQC</t>
  </si>
  <si>
    <t>Purchasing + QC</t>
  </si>
  <si>
    <t>Actuator giao chậm/lệch stroke</t>
  </si>
  <si>
    <t>G3</t>
  </si>
  <si>
    <t>Cửa trượt mượt bằng tay</t>
  </si>
  <si>
    <t>Cửa 0–350mm không kẹt, có limit cơ khí, ray song song</t>
  </si>
  <si>
    <t>Mechanical Lead</t>
  </si>
  <si>
    <t>Cửa kẹt/không đồng trục</t>
  </si>
  <si>
    <t>Cao</t>
  </si>
  <si>
    <t>G4</t>
  </si>
  <si>
    <t>Đã test liên động điều khiển</t>
  </si>
  <si>
    <t>Chỉ 1 bên mở; khi vùng cửa bị chiếm không đóng</t>
  </si>
  <si>
    <t>Electrical + Safety</t>
  </si>
  <si>
    <t>Sensor sai kiểu, thiếu logic xác nhận rút hết</t>
  </si>
  <si>
    <t>G5</t>
  </si>
  <si>
    <t>Đánh giá rủi ro chống rơi/va chạm</t>
  </si>
  <si>
    <t>Kiểm tra mất điện/khí, vùng tay robot, ánh sáng lọt</t>
  </si>
  <si>
    <t>Safety + QC</t>
  </si>
  <si>
    <t>Không đủ mức bảo vệ để chạy robot thật</t>
  </si>
  <si>
    <t>G6</t>
  </si>
  <si>
    <t>FAT nội bộ &amp; bàn giao</t>
  </si>
  <si>
    <t>Run log, video, checklist, issue list, linh kiện cuối</t>
  </si>
  <si>
    <t>PM / Giám sát</t>
  </si>
  <si>
    <t>Lỗi chưa khắc phục và ngân sách phát sinh</t>
  </si>
  <si>
    <t>Fast-track chỉ được duyệt nếu G1 và xác nhận hàng sẵn kho đã hoàn tất. Nếu motor nâng 10mm/s thì 350mm cần 35 giây/lần mở; phải chốt yêu cầu cycle time thực tế trước phát hành PO.</t>
  </si>
  <si>
    <t>HƯỚNG DẪN CẬP NHẬT &amp; ĐIỀU ĐỘ</t>
  </si>
  <si>
    <t>Quy trình dùng 2 file cùng nhau để chốt ngân sách và tiến độ sản xuất nguyên mẫu</t>
  </si>
  <si>
    <t>Bước</t>
  </si>
  <si>
    <t>Thao tác</t>
  </si>
  <si>
    <t>Vị trí</t>
  </si>
  <si>
    <t>Kết quả mong đợi</t>
  </si>
  <si>
    <t>Ai thực hiện</t>
  </si>
  <si>
    <t>Chu kỳ cập nhật</t>
  </si>
  <si>
    <t>Chốt model ray/block/actuator (giá, stroke, speed, lead)</t>
  </si>
  <si>
    <t>BOM → 02_BOM_CAD và 04_NGUON_GIA</t>
  </si>
  <si>
    <t>Không chốt lỗ gá khi model actuator còn chưa rõ</t>
  </si>
  <si>
    <t>Mechanical + Mua hàng</t>
  </si>
  <si>
    <t>Ngày 1–2</t>
  </si>
  <si>
    <t>Lấy báo giá 2–3 NCC, sửa số vàng</t>
  </si>
  <si>
    <t>BOM → 02_BOM_CAD &amp; 03_CHI_PHI_BO_SUNG</t>
  </si>
  <si>
    <t>Tổng ngân sách tự đổi trên dashboard</t>
  </si>
  <si>
    <t>Ngay khi có báo giá</t>
  </si>
  <si>
    <t>Chọn VAT đúng hóa đơn &amp; ngân sách dự phòng</t>
  </si>
  <si>
    <t>BOM → 01_TONG_QUAN</t>
  </si>
  <si>
    <t>Con số trình duyệt chính thức hơn</t>
  </si>
  <si>
    <t>Kế toán + PM</t>
  </si>
  <si>
    <t>Khi duyệt PO</t>
  </si>
  <si>
    <t>Sửa ngày khởi động, thời lượng, tiền nhiệm</t>
  </si>
  <si>
    <t>Kế hoạch → 01_TONG_QUAN &amp; 02_CONG_VIEC</t>
  </si>
  <si>
    <t>Ngày kết thúc/Gantt tự tính lại</t>
  </si>
  <si>
    <t>PM</t>
  </si>
  <si>
    <t>Hằng ngày</t>
  </si>
  <si>
    <t>Nhập trạng thái và phần trăm hoàn thành</t>
  </si>
  <si>
    <t>Kế hoạch → 02_CONG_VIEC cột M, N</t>
  </si>
  <si>
    <t>Dashboard phản ánh actual progress</t>
  </si>
  <si>
    <t>Trưởng nhóm</t>
  </si>
  <si>
    <t>Mỗi cuối ngày</t>
  </si>
  <si>
    <t>Duyệt G1–G6 &amp; hồ sơ kiểm thử</t>
  </si>
  <si>
    <t>Kế hoạch → 05_MOC_RUI_RO</t>
  </si>
  <si>
    <t>Có danh sách điểm chặn trước khi bàn giao</t>
  </si>
  <si>
    <t>PM + QC</t>
  </si>
  <si>
    <t>Tại cổng nghiệm thu</t>
  </si>
  <si>
    <t>Khi supplier trễ, tăng thời lượng hạng mục mua</t>
  </si>
  <si>
    <t>Kế hoạch → 02_CONG_VIEC T05–T08</t>
  </si>
  <si>
    <t>Đường găng và ngày bàn giao điều chỉnh</t>
  </si>
  <si>
    <t>PM + Mua hàng</t>
  </si>
  <si>
    <t>Ngay khi biết chậm</t>
  </si>
  <si>
    <t>QUY ƯỚC: Ô VÀNG = người dùng nhập/chỉnh. Ô còn lại có thể chứa công thức. Không sửa các ô công thức. Số ngày LV = T2–T6, chưa loại trừ lễ Việt Nam. Không xem lịch hoặc giá dự toán như xác nhận của nhà cung cấp.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</si>
</sst>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;;;"/>
  </numFmts>
  <fonts count="9">
    <font>
      <sz val="11"/>
      <name val="Carlito"/>
    </font>
    <font>
      <b/>
      <sz val="19"/>
      <color rgb="FFFFFFFF"/>
      <name val="Aptos Display"/>
    </font>
    <font>
      <sz val="10"/>
      <color rgb="FF13233C"/>
      <name val="Aptos"/>
    </font>
    <font>
      <b/>
      <sz val="10"/>
      <color rgb="FFFFFFFF"/>
      <name val="Aptos"/>
    </font>
    <font>
      <b/>
      <sz val="11"/>
      <color rgb="FFFFFFFF"/>
      <name val="Carlito"/>
    </font>
    <font>
      <b/>
      <sz val="11"/>
      <color rgb="FF78350F"/>
      <name val="Carlito"/>
    </font>
    <font>
      <b/>
      <sz val="11"/>
      <color rgb="FF991B1B"/>
      <name val="Carlito"/>
    </font>
    <font>
      <b/>
      <sz val="11"/>
      <color rgb="FF0F172A"/>
      <name val="Carlito"/>
    </font>
    <font>
      <sz val="11"/>
      <color rgb="FF78350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8F5F7"/>
      </patternFill>
    </fill>
    <fill>
      <patternFill patternType="solid">
        <fgColor rgb="FF0B7285"/>
      </patternFill>
    </fill>
    <fill>
      <patternFill patternType="solid">
        <fgColor rgb="FFF3F7FB"/>
      </patternFill>
    </fill>
    <fill>
      <patternFill patternType="solid">
        <fgColor rgb="FFFFF7D6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5" borderId="0" xfId="0" applyFill="1"/>
    <xf numFmtId="14" fontId="0" fillId="0" borderId="0" xfId="0" applyNumberFormat="1"/>
    <xf numFmtId="14" fontId="0" fillId="5" borderId="0" xfId="0" applyNumberFormat="1" applyFill="1"/>
    <xf numFmtId="0" fontId="0" fillId="6" borderId="0" xfId="0" applyFill="1"/>
    <xf numFmtId="9" fontId="0" fillId="6" borderId="0" xfId="0" applyNumberFormat="1" applyFill="1"/>
    <xf numFmtId="0" fontId="4" fillId="4" borderId="0" xfId="0" applyFont="1" applyFill="1"/>
    <xf numFmtId="14" fontId="0" fillId="6" borderId="0" xfId="0" applyNumberFormat="1" applyFill="1"/>
    <xf numFmtId="9" fontId="0" fillId="5" borderId="0" xfId="0" applyNumberFormat="1" applyFill="1"/>
    <xf numFmtId="0" fontId="0" fillId="7" borderId="0" xfId="0" applyFill="1"/>
    <xf numFmtId="14" fontId="0" fillId="7" borderId="0" xfId="0" applyNumberFormat="1" applyFill="1"/>
    <xf numFmtId="0" fontId="7" fillId="3" borderId="0" xfId="0" applyFont="1" applyFill="1"/>
    <xf numFmtId="164" fontId="7" fillId="3" borderId="0" xfId="0" applyNumberFormat="1" applyFont="1" applyFill="1" applyAlignment="1">
      <alignment horizontal="center"/>
    </xf>
    <xf numFmtId="165" fontId="0" fillId="0" borderId="0" xfId="0" applyNumberFormat="1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5" fillId="8" borderId="0" xfId="0" applyFont="1" applyFill="1" applyAlignment="1">
      <alignment wrapText="1"/>
    </xf>
    <xf numFmtId="0" fontId="6" fillId="9" borderId="0" xfId="0" applyFont="1" applyFill="1" applyAlignment="1">
      <alignment wrapText="1"/>
    </xf>
    <xf numFmtId="0" fontId="8" fillId="8" borderId="0" xfId="0" applyFont="1" applyFill="1" applyAlignment="1">
      <alignment wrapText="1"/>
    </xf>
  </cellXfs>
  <cellStyles count="1">
    <cellStyle name="Normal" xfId="0" builtinId="0"/>
  </cellStyles>
  <dxfs count="3">
    <dxf>
      <fill>
        <patternFill patternType="solid">
          <bgColor rgb="FF0891B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pane ySplit="4" topLeftCell="A5" activePane="bottomLeft" state="frozen"/>
      <selection pane="bottomLeft"/>
    </sheetView>
  </sheetViews>
  <sheetFormatPr defaultRowHeight="13.8"/>
  <cols>
    <col min="1" max="1" width="42" customWidth="1"/>
    <col min="2" max="2" width="25" customWidth="1"/>
    <col min="3" max="3" width="23" customWidth="1"/>
    <col min="4" max="4" width="72" customWidth="1"/>
    <col min="5" max="12" width="11" customWidth="1"/>
  </cols>
  <sheetData>
    <row r="1" spans="1:12" ht="25.9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5.9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24" customHeight="1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ht="10.95" customHeight="1"/>
    <row r="5" spans="1:12" ht="28.05" customHeight="1">
      <c r="A5" s="7" t="s">
        <v>2</v>
      </c>
      <c r="B5" s="7" t="s">
        <v>3</v>
      </c>
      <c r="C5" s="7" t="s">
        <v>4</v>
      </c>
    </row>
    <row r="6" spans="1:12">
      <c r="A6" t="s">
        <v>5</v>
      </c>
      <c r="B6" s="8">
        <v>46307</v>
      </c>
      <c r="C6" t="s">
        <v>6</v>
      </c>
    </row>
    <row r="7" spans="1:12">
      <c r="A7" t="s">
        <v>7</v>
      </c>
      <c r="B7" s="5">
        <v>5</v>
      </c>
      <c r="C7" t="s">
        <v>8</v>
      </c>
    </row>
    <row r="8" spans="1:12">
      <c r="A8" t="s">
        <v>9</v>
      </c>
      <c r="B8" s="5">
        <v>8</v>
      </c>
      <c r="C8" t="s">
        <v>10</v>
      </c>
    </row>
    <row r="9" spans="1:12">
      <c r="A9" t="s">
        <v>11</v>
      </c>
      <c r="B9" s="5">
        <v>1</v>
      </c>
      <c r="C9" t="s">
        <v>12</v>
      </c>
    </row>
    <row r="10" spans="1:12">
      <c r="A10" t="s">
        <v>13</v>
      </c>
      <c r="B10" t="s">
        <v>14</v>
      </c>
      <c r="C10" t="s">
        <v>15</v>
      </c>
    </row>
    <row r="11" spans="1:12">
      <c r="A11" t="s">
        <v>16</v>
      </c>
      <c r="B11" t="s">
        <v>17</v>
      </c>
      <c r="C11" t="s">
        <v>18</v>
      </c>
    </row>
    <row r="13" spans="1:12" ht="28.95" customHeight="1">
      <c r="A13" s="7" t="s">
        <v>19</v>
      </c>
      <c r="B13" s="7" t="s">
        <v>3</v>
      </c>
      <c r="C13" s="7" t="s">
        <v>20</v>
      </c>
      <c r="D13" s="7" t="s">
        <v>21</v>
      </c>
    </row>
    <row r="14" spans="1:12">
      <c r="A14" s="10" t="s">
        <v>22</v>
      </c>
      <c r="B14" s="10">
        <f>MAX('02_CONG_VIEC'!$I$7:$I$26)</f>
        <v>24</v>
      </c>
      <c r="C14" s="10" t="s">
        <v>23</v>
      </c>
      <c r="D14" s="10" t="s">
        <v>24</v>
      </c>
    </row>
    <row r="15" spans="1:12">
      <c r="A15" s="10" t="s">
        <v>25</v>
      </c>
      <c r="B15" s="11">
        <f>WORKDAY($B$6-1,B14)</f>
        <v>46338</v>
      </c>
      <c r="C15" s="10" t="s">
        <v>26</v>
      </c>
      <c r="D15" s="10" t="s">
        <v>27</v>
      </c>
    </row>
    <row r="16" spans="1:12">
      <c r="A16" s="2" t="s">
        <v>28</v>
      </c>
      <c r="B16" s="2">
        <f>COUNTA('02_CONG_VIEC'!$A$7:$A$26)</f>
        <v>20</v>
      </c>
      <c r="C16" s="2" t="s">
        <v>29</v>
      </c>
      <c r="D16" s="2" t="s">
        <v>30</v>
      </c>
    </row>
    <row r="17" spans="1:12">
      <c r="A17" t="s">
        <v>31</v>
      </c>
      <c r="B17">
        <f>COUNTIF('02_CONG_VIEC'!$M$7:$M$26,"Hoàn thành")</f>
        <v>0</v>
      </c>
      <c r="C17" t="s">
        <v>29</v>
      </c>
      <c r="D17" t="s">
        <v>32</v>
      </c>
    </row>
    <row r="18" spans="1:12">
      <c r="A18" s="2" t="s">
        <v>33</v>
      </c>
      <c r="B18" s="2">
        <f>COUNTIF('02_CONG_VIEC'!$M$7:$M$26,"Đang làm")</f>
        <v>0</v>
      </c>
      <c r="C18" s="2" t="s">
        <v>29</v>
      </c>
      <c r="D18" s="2" t="s">
        <v>34</v>
      </c>
    </row>
    <row r="19" spans="1:12">
      <c r="A19" t="s">
        <v>35</v>
      </c>
      <c r="B19">
        <f>COUNTIF('02_CONG_VIEC'!$M$7:$M$26,"Chậm")+COUNTIF('02_CONG_VIEC'!$M$7:$M$26,"Bị chặn")</f>
        <v>0</v>
      </c>
      <c r="C19" t="s">
        <v>29</v>
      </c>
      <c r="D19" t="s">
        <v>36</v>
      </c>
    </row>
    <row r="20" spans="1:12">
      <c r="A20" s="2" t="s">
        <v>37</v>
      </c>
      <c r="B20" s="9">
        <f>IFERROR(SUMPRODUCT('02_CONG_VIEC'!$E$7:$E$26,'02_CONG_VIEC'!$N$7:$N$26)/SUM('02_CONG_VIEC'!$E$7:$E$26),0)</f>
        <v>0</v>
      </c>
      <c r="C20" s="2" t="s">
        <v>38</v>
      </c>
      <c r="D20" s="2" t="s">
        <v>39</v>
      </c>
    </row>
    <row r="23" spans="1:12">
      <c r="A23" s="7" t="s">
        <v>40</v>
      </c>
      <c r="B23" s="7" t="s">
        <v>41</v>
      </c>
      <c r="C23" s="7" t="s">
        <v>42</v>
      </c>
      <c r="D23" s="7" t="s">
        <v>43</v>
      </c>
    </row>
    <row r="24" spans="1:12">
      <c r="A24" t="s">
        <v>44</v>
      </c>
      <c r="B24" t="s">
        <v>45</v>
      </c>
      <c r="C24" t="s">
        <v>46</v>
      </c>
      <c r="D24" t="s">
        <v>47</v>
      </c>
    </row>
    <row r="25" spans="1:12">
      <c r="A25" t="s">
        <v>48</v>
      </c>
      <c r="B25">
        <f>B14</f>
        <v>24</v>
      </c>
      <c r="C25" t="s">
        <v>49</v>
      </c>
      <c r="D25" t="s">
        <v>50</v>
      </c>
    </row>
    <row r="26" spans="1:12">
      <c r="A26" t="s">
        <v>51</v>
      </c>
      <c r="B26" t="s">
        <v>52</v>
      </c>
      <c r="C26" t="s">
        <v>53</v>
      </c>
      <c r="D26" t="s">
        <v>54</v>
      </c>
    </row>
    <row r="29" spans="1:12" ht="24" customHeight="1">
      <c r="A29" s="17" t="s">
        <v>55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24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2" spans="1:12" ht="24" customHeight="1">
      <c r="A32" s="18" t="s">
        <v>56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24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</sheetData>
  <mergeCells count="4">
    <mergeCell ref="A1:L2"/>
    <mergeCell ref="A3:L3"/>
    <mergeCell ref="A29:L30"/>
    <mergeCell ref="A32:L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>
      <pane ySplit="6" topLeftCell="A7" activePane="bottomLeft" state="frozen"/>
      <selection pane="bottomLeft"/>
    </sheetView>
  </sheetViews>
  <sheetFormatPr defaultRowHeight="13.8"/>
  <cols>
    <col min="1" max="1" width="10" customWidth="1"/>
    <col min="2" max="2" width="62" customWidth="1"/>
    <col min="3" max="3" width="19" customWidth="1"/>
    <col min="4" max="4" width="28" customWidth="1"/>
    <col min="5" max="5" width="18" customWidth="1"/>
    <col min="6" max="7" width="15" customWidth="1"/>
    <col min="8" max="9" width="16" customWidth="1"/>
    <col min="10" max="11" width="18" customWidth="1"/>
    <col min="12" max="12" width="43" customWidth="1"/>
    <col min="13" max="13" width="19" customWidth="1"/>
    <col min="14" max="14" width="18" customWidth="1"/>
    <col min="15" max="15" width="69" customWidth="1"/>
  </cols>
  <sheetData>
    <row r="1" spans="1:15" ht="25.95" customHeight="1">
      <c r="A1" s="15" t="s">
        <v>57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25.9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24" customHeight="1">
      <c r="A3" s="16" t="s">
        <v>58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ht="10.95" customHeight="1"/>
    <row r="6" spans="1:15" ht="37.950000000000003" customHeight="1">
      <c r="A6" s="1" t="s">
        <v>59</v>
      </c>
      <c r="B6" s="1" t="s">
        <v>60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65</v>
      </c>
      <c r="H6" s="1" t="s">
        <v>66</v>
      </c>
      <c r="I6" s="1" t="s">
        <v>67</v>
      </c>
      <c r="J6" s="1" t="s">
        <v>68</v>
      </c>
      <c r="K6" s="1" t="s">
        <v>69</v>
      </c>
      <c r="L6" s="1" t="s">
        <v>70</v>
      </c>
      <c r="M6" s="1" t="s">
        <v>71</v>
      </c>
      <c r="N6" s="1" t="s">
        <v>72</v>
      </c>
      <c r="O6" s="1" t="s">
        <v>73</v>
      </c>
    </row>
    <row r="7" spans="1:15">
      <c r="A7" t="s">
        <v>74</v>
      </c>
      <c r="B7" t="s">
        <v>75</v>
      </c>
      <c r="C7" t="s">
        <v>76</v>
      </c>
      <c r="D7" t="s">
        <v>77</v>
      </c>
      <c r="E7" s="5">
        <v>2</v>
      </c>
      <c r="F7" s="5"/>
      <c r="G7" s="5"/>
      <c r="H7">
        <f>1</f>
        <v>1</v>
      </c>
      <c r="I7">
        <f t="shared" ref="I7:I26" si="0">H7+E7-1</f>
        <v>2</v>
      </c>
      <c r="J7" s="3">
        <f>WORKDAY('01_TONG_QUAN'!$B$6-1,H7)</f>
        <v>46307</v>
      </c>
      <c r="K7" s="3">
        <f>WORKDAY('01_TONG_QUAN'!$B$6-1,I7)</f>
        <v>46308</v>
      </c>
      <c r="L7" t="s">
        <v>78</v>
      </c>
      <c r="M7" s="5" t="s">
        <v>79</v>
      </c>
      <c r="N7" s="6">
        <v>0</v>
      </c>
      <c r="O7" t="s">
        <v>80</v>
      </c>
    </row>
    <row r="8" spans="1:15">
      <c r="A8" s="2" t="s">
        <v>81</v>
      </c>
      <c r="B8" s="2" t="s">
        <v>82</v>
      </c>
      <c r="C8" s="2" t="s">
        <v>83</v>
      </c>
      <c r="D8" s="2" t="s">
        <v>84</v>
      </c>
      <c r="E8" s="5">
        <v>2</v>
      </c>
      <c r="F8" s="5"/>
      <c r="G8" s="5"/>
      <c r="H8" s="2">
        <f>1</f>
        <v>1</v>
      </c>
      <c r="I8" s="2">
        <f t="shared" si="0"/>
        <v>2</v>
      </c>
      <c r="J8" s="4">
        <f>WORKDAY('01_TONG_QUAN'!$B$6-1,H8)</f>
        <v>46307</v>
      </c>
      <c r="K8" s="4">
        <f>WORKDAY('01_TONG_QUAN'!$B$6-1,I8)</f>
        <v>46308</v>
      </c>
      <c r="L8" s="2" t="s">
        <v>85</v>
      </c>
      <c r="M8" s="5" t="s">
        <v>79</v>
      </c>
      <c r="N8" s="6">
        <v>0</v>
      </c>
      <c r="O8" s="2" t="s">
        <v>86</v>
      </c>
    </row>
    <row r="9" spans="1:15">
      <c r="A9" t="s">
        <v>87</v>
      </c>
      <c r="B9" t="s">
        <v>88</v>
      </c>
      <c r="C9" t="s">
        <v>76</v>
      </c>
      <c r="D9" t="s">
        <v>89</v>
      </c>
      <c r="E9" s="5">
        <v>2</v>
      </c>
      <c r="F9" s="5" t="s">
        <v>74</v>
      </c>
      <c r="G9" s="5"/>
      <c r="H9">
        <f>MAX(I7)+1</f>
        <v>3</v>
      </c>
      <c r="I9">
        <f t="shared" si="0"/>
        <v>4</v>
      </c>
      <c r="J9" s="3">
        <f>WORKDAY('01_TONG_QUAN'!$B$6-1,H9)</f>
        <v>46309</v>
      </c>
      <c r="K9" s="3">
        <f>WORKDAY('01_TONG_QUAN'!$B$6-1,I9)</f>
        <v>46310</v>
      </c>
      <c r="L9" t="s">
        <v>90</v>
      </c>
      <c r="M9" s="5" t="s">
        <v>79</v>
      </c>
      <c r="N9" s="6">
        <v>0</v>
      </c>
      <c r="O9" t="s">
        <v>91</v>
      </c>
    </row>
    <row r="10" spans="1:15">
      <c r="A10" s="2" t="s">
        <v>92</v>
      </c>
      <c r="B10" s="2" t="s">
        <v>93</v>
      </c>
      <c r="C10" s="2" t="s">
        <v>76</v>
      </c>
      <c r="D10" s="2" t="s">
        <v>77</v>
      </c>
      <c r="E10" s="5">
        <v>1</v>
      </c>
      <c r="F10" s="5" t="s">
        <v>74</v>
      </c>
      <c r="G10" s="5" t="s">
        <v>87</v>
      </c>
      <c r="H10" s="2">
        <f>MAX(I7,I9)+1</f>
        <v>5</v>
      </c>
      <c r="I10" s="2">
        <f t="shared" si="0"/>
        <v>5</v>
      </c>
      <c r="J10" s="4">
        <f>WORKDAY('01_TONG_QUAN'!$B$6-1,H10)</f>
        <v>46311</v>
      </c>
      <c r="K10" s="4">
        <f>WORKDAY('01_TONG_QUAN'!$B$6-1,I10)</f>
        <v>46311</v>
      </c>
      <c r="L10" s="2" t="s">
        <v>94</v>
      </c>
      <c r="M10" s="5" t="s">
        <v>79</v>
      </c>
      <c r="N10" s="6">
        <v>0</v>
      </c>
      <c r="O10" s="2" t="s">
        <v>95</v>
      </c>
    </row>
    <row r="11" spans="1:15">
      <c r="A11" t="s">
        <v>96</v>
      </c>
      <c r="B11" t="s">
        <v>97</v>
      </c>
      <c r="C11" t="s">
        <v>83</v>
      </c>
      <c r="D11" t="s">
        <v>84</v>
      </c>
      <c r="E11" s="5">
        <v>3</v>
      </c>
      <c r="F11" s="5" t="s">
        <v>81</v>
      </c>
      <c r="G11" s="5"/>
      <c r="H11">
        <f>MAX(I8)+1</f>
        <v>3</v>
      </c>
      <c r="I11">
        <f t="shared" si="0"/>
        <v>5</v>
      </c>
      <c r="J11" s="3">
        <f>WORKDAY('01_TONG_QUAN'!$B$6-1,H11)</f>
        <v>46309</v>
      </c>
      <c r="K11" s="3">
        <f>WORKDAY('01_TONG_QUAN'!$B$6-1,I11)</f>
        <v>46311</v>
      </c>
      <c r="L11" t="s">
        <v>98</v>
      </c>
      <c r="M11" s="5" t="s">
        <v>79</v>
      </c>
      <c r="N11" s="6">
        <v>0</v>
      </c>
      <c r="O11" t="s">
        <v>99</v>
      </c>
    </row>
    <row r="12" spans="1:15">
      <c r="A12" s="2" t="s">
        <v>100</v>
      </c>
      <c r="B12" s="2" t="s">
        <v>101</v>
      </c>
      <c r="C12" s="2" t="s">
        <v>83</v>
      </c>
      <c r="D12" s="2" t="s">
        <v>84</v>
      </c>
      <c r="E12" s="5">
        <v>4</v>
      </c>
      <c r="F12" s="5" t="s">
        <v>81</v>
      </c>
      <c r="G12" s="5"/>
      <c r="H12" s="2">
        <f>MAX(I8)+1</f>
        <v>3</v>
      </c>
      <c r="I12" s="2">
        <f t="shared" si="0"/>
        <v>6</v>
      </c>
      <c r="J12" s="4">
        <f>WORKDAY('01_TONG_QUAN'!$B$6-1,H12)</f>
        <v>46309</v>
      </c>
      <c r="K12" s="4">
        <f>WORKDAY('01_TONG_QUAN'!$B$6-1,I12)</f>
        <v>46314</v>
      </c>
      <c r="L12" s="2" t="s">
        <v>102</v>
      </c>
      <c r="M12" s="5" t="s">
        <v>79</v>
      </c>
      <c r="N12" s="6">
        <v>0</v>
      </c>
      <c r="O12" s="2" t="s">
        <v>103</v>
      </c>
    </row>
    <row r="13" spans="1:15">
      <c r="A13" t="s">
        <v>104</v>
      </c>
      <c r="B13" t="s">
        <v>105</v>
      </c>
      <c r="C13" t="s">
        <v>83</v>
      </c>
      <c r="D13" t="s">
        <v>84</v>
      </c>
      <c r="E13" s="5">
        <v>8</v>
      </c>
      <c r="F13" s="5" t="s">
        <v>81</v>
      </c>
      <c r="G13" s="5"/>
      <c r="H13">
        <f>MAX(I8)+1</f>
        <v>3</v>
      </c>
      <c r="I13">
        <f t="shared" si="0"/>
        <v>10</v>
      </c>
      <c r="J13" s="3">
        <f>WORKDAY('01_TONG_QUAN'!$B$6-1,H13)</f>
        <v>46309</v>
      </c>
      <c r="K13" s="3">
        <f>WORKDAY('01_TONG_QUAN'!$B$6-1,I13)</f>
        <v>46318</v>
      </c>
      <c r="L13" t="s">
        <v>106</v>
      </c>
      <c r="M13" s="5" t="s">
        <v>79</v>
      </c>
      <c r="N13" s="6">
        <v>0</v>
      </c>
      <c r="O13" t="s">
        <v>107</v>
      </c>
    </row>
    <row r="14" spans="1:15">
      <c r="A14" s="2" t="s">
        <v>108</v>
      </c>
      <c r="B14" s="2" t="s">
        <v>109</v>
      </c>
      <c r="C14" s="2" t="s">
        <v>83</v>
      </c>
      <c r="D14" s="2" t="s">
        <v>84</v>
      </c>
      <c r="E14" s="5">
        <v>4</v>
      </c>
      <c r="F14" s="5" t="s">
        <v>81</v>
      </c>
      <c r="G14" s="5"/>
      <c r="H14" s="2">
        <f>MAX(I8)+1</f>
        <v>3</v>
      </c>
      <c r="I14" s="2">
        <f t="shared" si="0"/>
        <v>6</v>
      </c>
      <c r="J14" s="4">
        <f>WORKDAY('01_TONG_QUAN'!$B$6-1,H14)</f>
        <v>46309</v>
      </c>
      <c r="K14" s="4">
        <f>WORKDAY('01_TONG_QUAN'!$B$6-1,I14)</f>
        <v>46314</v>
      </c>
      <c r="L14" s="2" t="s">
        <v>110</v>
      </c>
      <c r="M14" s="5" t="s">
        <v>79</v>
      </c>
      <c r="N14" s="6">
        <v>0</v>
      </c>
      <c r="O14" s="2" t="s">
        <v>111</v>
      </c>
    </row>
    <row r="15" spans="1:15">
      <c r="A15" t="s">
        <v>112</v>
      </c>
      <c r="B15" t="s">
        <v>113</v>
      </c>
      <c r="C15" t="s">
        <v>114</v>
      </c>
      <c r="D15" t="s">
        <v>115</v>
      </c>
      <c r="E15" s="5">
        <v>3</v>
      </c>
      <c r="F15" s="5" t="s">
        <v>92</v>
      </c>
      <c r="G15" s="5" t="s">
        <v>96</v>
      </c>
      <c r="H15">
        <f>MAX(I10,I11)+1</f>
        <v>6</v>
      </c>
      <c r="I15">
        <f t="shared" si="0"/>
        <v>8</v>
      </c>
      <c r="J15" s="3">
        <f>WORKDAY('01_TONG_QUAN'!$B$6-1,H15)</f>
        <v>46314</v>
      </c>
      <c r="K15" s="3">
        <f>WORKDAY('01_TONG_QUAN'!$B$6-1,I15)</f>
        <v>46316</v>
      </c>
      <c r="L15" t="s">
        <v>116</v>
      </c>
      <c r="M15" s="5" t="s">
        <v>79</v>
      </c>
      <c r="N15" s="6">
        <v>0</v>
      </c>
      <c r="O15" t="s">
        <v>117</v>
      </c>
    </row>
    <row r="16" spans="1:15">
      <c r="A16" s="2" t="s">
        <v>118</v>
      </c>
      <c r="B16" s="2" t="s">
        <v>119</v>
      </c>
      <c r="C16" s="2" t="s">
        <v>114</v>
      </c>
      <c r="D16" s="2" t="s">
        <v>120</v>
      </c>
      <c r="E16" s="5">
        <v>3</v>
      </c>
      <c r="F16" s="5" t="s">
        <v>92</v>
      </c>
      <c r="G16" s="5" t="s">
        <v>96</v>
      </c>
      <c r="H16" s="2">
        <f>MAX(I10,I11)+1</f>
        <v>6</v>
      </c>
      <c r="I16" s="2">
        <f t="shared" si="0"/>
        <v>8</v>
      </c>
      <c r="J16" s="4">
        <f>WORKDAY('01_TONG_QUAN'!$B$6-1,H16)</f>
        <v>46314</v>
      </c>
      <c r="K16" s="4">
        <f>WORKDAY('01_TONG_QUAN'!$B$6-1,I16)</f>
        <v>46316</v>
      </c>
      <c r="L16" s="2" t="s">
        <v>121</v>
      </c>
      <c r="M16" s="5" t="s">
        <v>79</v>
      </c>
      <c r="N16" s="6">
        <v>0</v>
      </c>
      <c r="O16" s="2" t="s">
        <v>122</v>
      </c>
    </row>
    <row r="17" spans="1:15">
      <c r="A17" t="s">
        <v>123</v>
      </c>
      <c r="B17" t="s">
        <v>124</v>
      </c>
      <c r="C17" t="s">
        <v>114</v>
      </c>
      <c r="D17" t="s">
        <v>120</v>
      </c>
      <c r="E17" s="5">
        <v>2</v>
      </c>
      <c r="F17" s="5" t="s">
        <v>112</v>
      </c>
      <c r="G17" s="5" t="s">
        <v>118</v>
      </c>
      <c r="H17">
        <f>MAX(I15,I16)+1</f>
        <v>9</v>
      </c>
      <c r="I17">
        <f t="shared" si="0"/>
        <v>10</v>
      </c>
      <c r="J17" s="3">
        <f>WORKDAY('01_TONG_QUAN'!$B$6-1,H17)</f>
        <v>46317</v>
      </c>
      <c r="K17" s="3">
        <f>WORKDAY('01_TONG_QUAN'!$B$6-1,I17)</f>
        <v>46318</v>
      </c>
      <c r="L17" t="s">
        <v>125</v>
      </c>
      <c r="M17" s="5" t="s">
        <v>79</v>
      </c>
      <c r="N17" s="6">
        <v>0</v>
      </c>
      <c r="O17" t="s">
        <v>126</v>
      </c>
    </row>
    <row r="18" spans="1:15">
      <c r="A18" s="2" t="s">
        <v>127</v>
      </c>
      <c r="B18" s="2" t="s">
        <v>128</v>
      </c>
      <c r="C18" s="2" t="s">
        <v>129</v>
      </c>
      <c r="D18" s="2" t="s">
        <v>130</v>
      </c>
      <c r="E18" s="5">
        <v>1</v>
      </c>
      <c r="F18" s="5" t="s">
        <v>100</v>
      </c>
      <c r="G18" s="5" t="s">
        <v>104</v>
      </c>
      <c r="H18" s="2">
        <f>MAX(I12,I13,I14)+1</f>
        <v>11</v>
      </c>
      <c r="I18" s="2">
        <f t="shared" si="0"/>
        <v>11</v>
      </c>
      <c r="J18" s="4">
        <f>WORKDAY('01_TONG_QUAN'!$B$6-1,H18)</f>
        <v>46321</v>
      </c>
      <c r="K18" s="4">
        <f>WORKDAY('01_TONG_QUAN'!$B$6-1,I18)</f>
        <v>46321</v>
      </c>
      <c r="L18" s="2" t="s">
        <v>131</v>
      </c>
      <c r="M18" s="5" t="s">
        <v>79</v>
      </c>
      <c r="N18" s="6">
        <v>0</v>
      </c>
      <c r="O18" s="2" t="s">
        <v>132</v>
      </c>
    </row>
    <row r="19" spans="1:15">
      <c r="A19" t="s">
        <v>133</v>
      </c>
      <c r="B19" t="s">
        <v>134</v>
      </c>
      <c r="C19" t="s">
        <v>135</v>
      </c>
      <c r="D19" t="s">
        <v>136</v>
      </c>
      <c r="E19" s="5">
        <v>2</v>
      </c>
      <c r="F19" s="5" t="s">
        <v>123</v>
      </c>
      <c r="G19" s="5"/>
      <c r="H19">
        <f>MAX(I17)+1</f>
        <v>11</v>
      </c>
      <c r="I19">
        <f t="shared" si="0"/>
        <v>12</v>
      </c>
      <c r="J19" s="3">
        <f>WORKDAY('01_TONG_QUAN'!$B$6-1,H19)</f>
        <v>46321</v>
      </c>
      <c r="K19" s="3">
        <f>WORKDAY('01_TONG_QUAN'!$B$6-1,I19)</f>
        <v>46322</v>
      </c>
      <c r="L19" t="s">
        <v>137</v>
      </c>
      <c r="M19" s="5" t="s">
        <v>79</v>
      </c>
      <c r="N19" s="6">
        <v>0</v>
      </c>
      <c r="O19" t="s">
        <v>138</v>
      </c>
    </row>
    <row r="20" spans="1:15">
      <c r="A20" s="2" t="s">
        <v>139</v>
      </c>
      <c r="B20" s="2" t="s">
        <v>140</v>
      </c>
      <c r="C20" s="2" t="s">
        <v>135</v>
      </c>
      <c r="D20" s="2" t="s">
        <v>136</v>
      </c>
      <c r="E20" s="5">
        <v>1</v>
      </c>
      <c r="F20" s="5" t="s">
        <v>100</v>
      </c>
      <c r="G20" s="5" t="s">
        <v>133</v>
      </c>
      <c r="H20" s="2">
        <f>MAX(I12,I19)+1</f>
        <v>13</v>
      </c>
      <c r="I20" s="2">
        <f t="shared" si="0"/>
        <v>13</v>
      </c>
      <c r="J20" s="4">
        <f>WORKDAY('01_TONG_QUAN'!$B$6-1,H20)</f>
        <v>46323</v>
      </c>
      <c r="K20" s="4">
        <f>WORKDAY('01_TONG_QUAN'!$B$6-1,I20)</f>
        <v>46323</v>
      </c>
      <c r="L20" s="2" t="s">
        <v>141</v>
      </c>
      <c r="M20" s="5" t="s">
        <v>79</v>
      </c>
      <c r="N20" s="6">
        <v>0</v>
      </c>
      <c r="O20" s="2" t="s">
        <v>142</v>
      </c>
    </row>
    <row r="21" spans="1:15">
      <c r="A21" t="s">
        <v>143</v>
      </c>
      <c r="B21" t="s">
        <v>144</v>
      </c>
      <c r="C21" t="s">
        <v>135</v>
      </c>
      <c r="D21" t="s">
        <v>136</v>
      </c>
      <c r="E21" s="5">
        <v>2</v>
      </c>
      <c r="F21" s="5" t="s">
        <v>104</v>
      </c>
      <c r="G21" s="5" t="s">
        <v>139</v>
      </c>
      <c r="H21">
        <f>MAX(I13,I20)+1</f>
        <v>14</v>
      </c>
      <c r="I21">
        <f t="shared" si="0"/>
        <v>15</v>
      </c>
      <c r="J21" s="3">
        <f>WORKDAY('01_TONG_QUAN'!$B$6-1,H21)</f>
        <v>46324</v>
      </c>
      <c r="K21" s="3">
        <f>WORKDAY('01_TONG_QUAN'!$B$6-1,I21)</f>
        <v>46325</v>
      </c>
      <c r="L21" t="s">
        <v>145</v>
      </c>
      <c r="M21" s="5" t="s">
        <v>79</v>
      </c>
      <c r="N21" s="6">
        <v>0</v>
      </c>
      <c r="O21" t="s">
        <v>146</v>
      </c>
    </row>
    <row r="22" spans="1:15">
      <c r="A22" s="2" t="s">
        <v>147</v>
      </c>
      <c r="B22" s="2" t="s">
        <v>148</v>
      </c>
      <c r="C22" s="2" t="s">
        <v>149</v>
      </c>
      <c r="D22" s="2" t="s">
        <v>150</v>
      </c>
      <c r="E22" s="5">
        <v>2</v>
      </c>
      <c r="F22" s="5" t="s">
        <v>108</v>
      </c>
      <c r="G22" s="5" t="s">
        <v>143</v>
      </c>
      <c r="H22" s="2">
        <f>MAX(I14,I21)+1</f>
        <v>16</v>
      </c>
      <c r="I22" s="2">
        <f t="shared" si="0"/>
        <v>17</v>
      </c>
      <c r="J22" s="4">
        <f>WORKDAY('01_TONG_QUAN'!$B$6-1,H22)</f>
        <v>46328</v>
      </c>
      <c r="K22" s="4">
        <f>WORKDAY('01_TONG_QUAN'!$B$6-1,I22)</f>
        <v>46329</v>
      </c>
      <c r="L22" s="2" t="s">
        <v>151</v>
      </c>
      <c r="M22" s="5" t="s">
        <v>79</v>
      </c>
      <c r="N22" s="6">
        <v>0</v>
      </c>
      <c r="O22" s="2" t="s">
        <v>152</v>
      </c>
    </row>
    <row r="23" spans="1:15">
      <c r="A23" t="s">
        <v>153</v>
      </c>
      <c r="B23" t="s">
        <v>154</v>
      </c>
      <c r="C23" t="s">
        <v>129</v>
      </c>
      <c r="D23" t="s">
        <v>155</v>
      </c>
      <c r="E23" s="5">
        <v>2</v>
      </c>
      <c r="F23" s="5" t="s">
        <v>147</v>
      </c>
      <c r="G23" s="5"/>
      <c r="H23">
        <f>MAX(I22)+1</f>
        <v>18</v>
      </c>
      <c r="I23">
        <f t="shared" si="0"/>
        <v>19</v>
      </c>
      <c r="J23" s="3">
        <f>WORKDAY('01_TONG_QUAN'!$B$6-1,H23)</f>
        <v>46330</v>
      </c>
      <c r="K23" s="3">
        <f>WORKDAY('01_TONG_QUAN'!$B$6-1,I23)</f>
        <v>46331</v>
      </c>
      <c r="L23" t="s">
        <v>156</v>
      </c>
      <c r="M23" s="5" t="s">
        <v>79</v>
      </c>
      <c r="N23" s="6">
        <v>0</v>
      </c>
      <c r="O23" t="s">
        <v>157</v>
      </c>
    </row>
    <row r="24" spans="1:15">
      <c r="A24" s="2" t="s">
        <v>158</v>
      </c>
      <c r="B24" s="2" t="s">
        <v>159</v>
      </c>
      <c r="C24" s="2" t="s">
        <v>129</v>
      </c>
      <c r="D24" s="2" t="s">
        <v>160</v>
      </c>
      <c r="E24" s="5">
        <v>2</v>
      </c>
      <c r="F24" s="5" t="s">
        <v>153</v>
      </c>
      <c r="G24" s="5"/>
      <c r="H24" s="2">
        <f>MAX(I23)+1</f>
        <v>20</v>
      </c>
      <c r="I24" s="2">
        <f t="shared" si="0"/>
        <v>21</v>
      </c>
      <c r="J24" s="4">
        <f>WORKDAY('01_TONG_QUAN'!$B$6-1,H24)</f>
        <v>46332</v>
      </c>
      <c r="K24" s="4">
        <f>WORKDAY('01_TONG_QUAN'!$B$6-1,I24)</f>
        <v>46335</v>
      </c>
      <c r="L24" s="2" t="s">
        <v>161</v>
      </c>
      <c r="M24" s="5" t="s">
        <v>79</v>
      </c>
      <c r="N24" s="6">
        <v>0</v>
      </c>
      <c r="O24" s="2" t="s">
        <v>162</v>
      </c>
    </row>
    <row r="25" spans="1:15">
      <c r="A25" t="s">
        <v>163</v>
      </c>
      <c r="B25" t="s">
        <v>164</v>
      </c>
      <c r="C25" t="s">
        <v>129</v>
      </c>
      <c r="D25" t="s">
        <v>155</v>
      </c>
      <c r="E25" s="5">
        <v>1</v>
      </c>
      <c r="F25" s="5" t="s">
        <v>158</v>
      </c>
      <c r="G25" s="5"/>
      <c r="H25">
        <f>MAX(I24)+1</f>
        <v>22</v>
      </c>
      <c r="I25">
        <f t="shared" si="0"/>
        <v>22</v>
      </c>
      <c r="J25" s="3">
        <f>WORKDAY('01_TONG_QUAN'!$B$6-1,H25)</f>
        <v>46336</v>
      </c>
      <c r="K25" s="3">
        <f>WORKDAY('01_TONG_QUAN'!$B$6-1,I25)</f>
        <v>46336</v>
      </c>
      <c r="L25" t="s">
        <v>165</v>
      </c>
      <c r="M25" s="5" t="s">
        <v>79</v>
      </c>
      <c r="N25" s="6">
        <v>0</v>
      </c>
      <c r="O25" t="s">
        <v>166</v>
      </c>
    </row>
    <row r="26" spans="1:15">
      <c r="A26" s="2" t="s">
        <v>167</v>
      </c>
      <c r="B26" s="2" t="s">
        <v>168</v>
      </c>
      <c r="C26" s="2" t="s">
        <v>169</v>
      </c>
      <c r="D26" s="2" t="s">
        <v>170</v>
      </c>
      <c r="E26" s="5">
        <v>2</v>
      </c>
      <c r="F26" s="5" t="s">
        <v>163</v>
      </c>
      <c r="G26" s="5"/>
      <c r="H26" s="2">
        <f>MAX(I25)+1</f>
        <v>23</v>
      </c>
      <c r="I26" s="2">
        <f t="shared" si="0"/>
        <v>24</v>
      </c>
      <c r="J26" s="4">
        <f>WORKDAY('01_TONG_QUAN'!$B$6-1,H26)</f>
        <v>46337</v>
      </c>
      <c r="K26" s="4">
        <f>WORKDAY('01_TONG_QUAN'!$B$6-1,I26)</f>
        <v>46338</v>
      </c>
      <c r="L26" s="2" t="s">
        <v>171</v>
      </c>
      <c r="M26" s="5" t="s">
        <v>79</v>
      </c>
      <c r="N26" s="6">
        <v>0</v>
      </c>
      <c r="O26" s="2" t="s">
        <v>172</v>
      </c>
    </row>
  </sheetData>
  <mergeCells count="2">
    <mergeCell ref="A1:O2"/>
    <mergeCell ref="A3:O3"/>
  </mergeCells>
  <conditionalFormatting sqref="M7:M26">
    <cfRule type="expression" dxfId="2" priority="2">
      <formula>M7="Chậm"</formula>
    </cfRule>
    <cfRule type="expression" dxfId="1" priority="3">
      <formula>M7="Hoàn thành"</formula>
    </cfRule>
  </conditionalFormatting>
  <conditionalFormatting sqref="N7:N26">
    <cfRule type="dataBar" priority="1">
      <dataBar>
        <cfvo type="min"/>
        <cfvo type="max"/>
        <color rgb="FF0D9488"/>
      </dataBar>
    </cfRule>
    <cfRule type="dataBar" priority="4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{F0A78323-2A81-5811-9B33-CFC546D73BC4}</x14:id>
        </ext>
      </extLst>
    </cfRule>
  </conditionalFormatting>
  <dataValidations count="1">
    <dataValidation type="list" sqref="M7:M26" xr:uid="{00000000-0002-0000-0100-000000000000}">
      <formula1>"Chưa bắt đầu,Đang làm,Tạm dừng,Hoàn thành,Chậm,Bị chặn"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A78323-2A81-5811-9B33-CFC546D73BC4}">
            <x14:dataBar>
              <x14:cfvo type="min"/>
              <x14:cfvo type="max"/>
              <x14:negativeFillColor auto="1"/>
              <x14:axisColor auto="1"/>
            </x14:dataBar>
          </x14:cfRule>
          <xm:sqref>N7:N26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6"/>
  <sheetViews>
    <sheetView workbookViewId="0">
      <pane ySplit="6" topLeftCell="A7" activePane="bottomLeft" state="frozen"/>
      <selection pane="bottomLeft"/>
    </sheetView>
  </sheetViews>
  <sheetFormatPr defaultRowHeight="13.8"/>
  <cols>
    <col min="1" max="1" width="10" customWidth="1"/>
    <col min="2" max="2" width="54" customWidth="1"/>
    <col min="3" max="3" width="29" customWidth="1"/>
    <col min="4" max="6" width="16" customWidth="1"/>
    <col min="7" max="7" width="20" customWidth="1"/>
    <col min="8" max="43" width="5" customWidth="1"/>
  </cols>
  <sheetData>
    <row r="1" spans="1:43" ht="25.95" customHeight="1">
      <c r="A1" s="15" t="s">
        <v>173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ht="25.9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24" customHeight="1">
      <c r="A3" s="16" t="s">
        <v>174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</row>
    <row r="4" spans="1:43" ht="10.95" customHeight="1"/>
    <row r="5" spans="1:43" ht="27" customHeight="1">
      <c r="A5" s="12" t="s">
        <v>175</v>
      </c>
      <c r="B5" s="12"/>
      <c r="C5" s="12"/>
      <c r="D5" s="12"/>
      <c r="E5" s="12"/>
      <c r="F5" s="12"/>
      <c r="G5" s="12" t="s">
        <v>176</v>
      </c>
      <c r="H5" s="13">
        <f>WORKDAY('01_TONG_QUAN'!$B$6-1,1)</f>
        <v>46307</v>
      </c>
      <c r="I5" s="13">
        <f>WORKDAY('01_TONG_QUAN'!$B$6-1,2)</f>
        <v>46308</v>
      </c>
      <c r="J5" s="13">
        <f>WORKDAY('01_TONG_QUAN'!$B$6-1,3)</f>
        <v>46309</v>
      </c>
      <c r="K5" s="13">
        <f>WORKDAY('01_TONG_QUAN'!$B$6-1,4)</f>
        <v>46310</v>
      </c>
      <c r="L5" s="13">
        <f>WORKDAY('01_TONG_QUAN'!$B$6-1,5)</f>
        <v>46311</v>
      </c>
      <c r="M5" s="13">
        <f>WORKDAY('01_TONG_QUAN'!$B$6-1,6)</f>
        <v>46314</v>
      </c>
      <c r="N5" s="13">
        <f>WORKDAY('01_TONG_QUAN'!$B$6-1,7)</f>
        <v>46315</v>
      </c>
      <c r="O5" s="13">
        <f>WORKDAY('01_TONG_QUAN'!$B$6-1,8)</f>
        <v>46316</v>
      </c>
      <c r="P5" s="13">
        <f>WORKDAY('01_TONG_QUAN'!$B$6-1,9)</f>
        <v>46317</v>
      </c>
      <c r="Q5" s="13">
        <f>WORKDAY('01_TONG_QUAN'!$B$6-1,10)</f>
        <v>46318</v>
      </c>
      <c r="R5" s="13">
        <f>WORKDAY('01_TONG_QUAN'!$B$6-1,11)</f>
        <v>46321</v>
      </c>
      <c r="S5" s="13">
        <f>WORKDAY('01_TONG_QUAN'!$B$6-1,12)</f>
        <v>46322</v>
      </c>
      <c r="T5" s="13">
        <f>WORKDAY('01_TONG_QUAN'!$B$6-1,13)</f>
        <v>46323</v>
      </c>
      <c r="U5" s="13">
        <f>WORKDAY('01_TONG_QUAN'!$B$6-1,14)</f>
        <v>46324</v>
      </c>
      <c r="V5" s="13">
        <f>WORKDAY('01_TONG_QUAN'!$B$6-1,15)</f>
        <v>46325</v>
      </c>
      <c r="W5" s="13">
        <f>WORKDAY('01_TONG_QUAN'!$B$6-1,16)</f>
        <v>46328</v>
      </c>
      <c r="X5" s="13">
        <f>WORKDAY('01_TONG_QUAN'!$B$6-1,17)</f>
        <v>46329</v>
      </c>
      <c r="Y5" s="13">
        <f>WORKDAY('01_TONG_QUAN'!$B$6-1,18)</f>
        <v>46330</v>
      </c>
      <c r="Z5" s="13">
        <f>WORKDAY('01_TONG_QUAN'!$B$6-1,19)</f>
        <v>46331</v>
      </c>
      <c r="AA5" s="13">
        <f>WORKDAY('01_TONG_QUAN'!$B$6-1,20)</f>
        <v>46332</v>
      </c>
      <c r="AB5" s="13">
        <f>WORKDAY('01_TONG_QUAN'!$B$6-1,21)</f>
        <v>46335</v>
      </c>
      <c r="AC5" s="13">
        <f>WORKDAY('01_TONG_QUAN'!$B$6-1,22)</f>
        <v>46336</v>
      </c>
      <c r="AD5" s="13">
        <f>WORKDAY('01_TONG_QUAN'!$B$6-1,23)</f>
        <v>46337</v>
      </c>
      <c r="AE5" s="13">
        <f>WORKDAY('01_TONG_QUAN'!$B$6-1,24)</f>
        <v>46338</v>
      </c>
      <c r="AF5" s="13">
        <f>WORKDAY('01_TONG_QUAN'!$B$6-1,25)</f>
        <v>46339</v>
      </c>
      <c r="AG5" s="13">
        <f>WORKDAY('01_TONG_QUAN'!$B$6-1,26)</f>
        <v>46342</v>
      </c>
      <c r="AH5" s="13">
        <f>WORKDAY('01_TONG_QUAN'!$B$6-1,27)</f>
        <v>46343</v>
      </c>
      <c r="AI5" s="13">
        <f>WORKDAY('01_TONG_QUAN'!$B$6-1,28)</f>
        <v>46344</v>
      </c>
      <c r="AJ5" s="13">
        <f>WORKDAY('01_TONG_QUAN'!$B$6-1,29)</f>
        <v>46345</v>
      </c>
      <c r="AK5" s="13">
        <f>WORKDAY('01_TONG_QUAN'!$B$6-1,30)</f>
        <v>46346</v>
      </c>
      <c r="AL5" s="13">
        <f>WORKDAY('01_TONG_QUAN'!$B$6-1,31)</f>
        <v>46349</v>
      </c>
      <c r="AM5" s="13">
        <f>WORKDAY('01_TONG_QUAN'!$B$6-1,32)</f>
        <v>46350</v>
      </c>
      <c r="AN5" s="13">
        <f>WORKDAY('01_TONG_QUAN'!$B$6-1,33)</f>
        <v>46351</v>
      </c>
      <c r="AO5" s="13">
        <f>WORKDAY('01_TONG_QUAN'!$B$6-1,34)</f>
        <v>46352</v>
      </c>
      <c r="AP5" s="13">
        <f>WORKDAY('01_TONG_QUAN'!$B$6-1,35)</f>
        <v>46353</v>
      </c>
      <c r="AQ5" s="13">
        <f>WORKDAY('01_TONG_QUAN'!$B$6-1,36)</f>
        <v>46356</v>
      </c>
    </row>
    <row r="6" spans="1:43" ht="37.950000000000003" customHeight="1">
      <c r="A6" s="1" t="s">
        <v>177</v>
      </c>
      <c r="B6" s="1" t="s">
        <v>60</v>
      </c>
      <c r="C6" s="1" t="s">
        <v>178</v>
      </c>
      <c r="D6" s="1" t="s">
        <v>179</v>
      </c>
      <c r="E6" s="1" t="s">
        <v>180</v>
      </c>
      <c r="F6" s="1" t="s">
        <v>181</v>
      </c>
      <c r="G6" s="1" t="s">
        <v>61</v>
      </c>
      <c r="H6" s="1" t="s">
        <v>182</v>
      </c>
      <c r="I6" s="1" t="s">
        <v>183</v>
      </c>
      <c r="J6" s="1" t="s">
        <v>184</v>
      </c>
      <c r="K6" s="1" t="s">
        <v>185</v>
      </c>
      <c r="L6" s="1" t="s">
        <v>186</v>
      </c>
      <c r="M6" s="1" t="s">
        <v>187</v>
      </c>
      <c r="N6" s="1" t="s">
        <v>188</v>
      </c>
      <c r="O6" s="1" t="s">
        <v>189</v>
      </c>
      <c r="P6" s="1" t="s">
        <v>190</v>
      </c>
      <c r="Q6" s="1" t="s">
        <v>191</v>
      </c>
      <c r="R6" s="1" t="s">
        <v>192</v>
      </c>
      <c r="S6" s="1" t="s">
        <v>193</v>
      </c>
      <c r="T6" s="1" t="s">
        <v>194</v>
      </c>
      <c r="U6" s="1" t="s">
        <v>195</v>
      </c>
      <c r="V6" s="1" t="s">
        <v>196</v>
      </c>
      <c r="W6" s="1" t="s">
        <v>197</v>
      </c>
      <c r="X6" s="1" t="s">
        <v>198</v>
      </c>
      <c r="Y6" s="1" t="s">
        <v>199</v>
      </c>
      <c r="Z6" s="1" t="s">
        <v>200</v>
      </c>
      <c r="AA6" s="1" t="s">
        <v>201</v>
      </c>
      <c r="AB6" s="1" t="s">
        <v>202</v>
      </c>
      <c r="AC6" s="1" t="s">
        <v>203</v>
      </c>
      <c r="AD6" s="1" t="s">
        <v>204</v>
      </c>
      <c r="AE6" s="1" t="s">
        <v>205</v>
      </c>
      <c r="AF6" s="1" t="s">
        <v>206</v>
      </c>
      <c r="AG6" s="1" t="s">
        <v>207</v>
      </c>
      <c r="AH6" s="1" t="s">
        <v>208</v>
      </c>
      <c r="AI6" s="1" t="s">
        <v>209</v>
      </c>
      <c r="AJ6" s="1" t="s">
        <v>210</v>
      </c>
      <c r="AK6" s="1" t="s">
        <v>211</v>
      </c>
      <c r="AL6" s="1" t="s">
        <v>212</v>
      </c>
      <c r="AM6" s="1" t="s">
        <v>213</v>
      </c>
      <c r="AN6" s="1" t="s">
        <v>214</v>
      </c>
      <c r="AO6" s="1" t="s">
        <v>215</v>
      </c>
      <c r="AP6" s="1" t="s">
        <v>216</v>
      </c>
      <c r="AQ6" s="1" t="s">
        <v>217</v>
      </c>
    </row>
    <row r="7" spans="1:43" ht="25.05" customHeight="1">
      <c r="A7" t="s">
        <v>74</v>
      </c>
      <c r="B7" t="s">
        <v>75</v>
      </c>
      <c r="C7" t="s">
        <v>77</v>
      </c>
      <c r="D7">
        <f>'02_CONG_VIEC'!H7</f>
        <v>1</v>
      </c>
      <c r="E7">
        <f>'02_CONG_VIEC'!I7</f>
        <v>2</v>
      </c>
      <c r="F7">
        <f>'02_CONG_VIEC'!E7</f>
        <v>2</v>
      </c>
      <c r="G7" t="s">
        <v>76</v>
      </c>
      <c r="H7" s="14" t="str">
        <f t="shared" ref="H7:Q16" si="0">IF(AND(H$6&gt;=$D7,H$6&lt;=$E7),1,"")</f>
        <v/>
      </c>
      <c r="I7" s="14" t="str">
        <f t="shared" si="0"/>
        <v/>
      </c>
      <c r="J7" s="14" t="str">
        <f t="shared" si="0"/>
        <v/>
      </c>
      <c r="K7" s="14" t="str">
        <f t="shared" si="0"/>
        <v/>
      </c>
      <c r="L7" s="14" t="str">
        <f t="shared" si="0"/>
        <v/>
      </c>
      <c r="M7" s="14" t="str">
        <f t="shared" si="0"/>
        <v/>
      </c>
      <c r="N7" s="14" t="str">
        <f t="shared" si="0"/>
        <v/>
      </c>
      <c r="O7" s="14" t="str">
        <f t="shared" si="0"/>
        <v/>
      </c>
      <c r="P7" s="14" t="str">
        <f t="shared" si="0"/>
        <v/>
      </c>
      <c r="Q7" s="14" t="str">
        <f t="shared" si="0"/>
        <v/>
      </c>
      <c r="R7" s="14" t="str">
        <f t="shared" ref="R7:AA16" si="1">IF(AND(R$6&gt;=$D7,R$6&lt;=$E7),1,"")</f>
        <v/>
      </c>
      <c r="S7" s="14" t="str">
        <f t="shared" si="1"/>
        <v/>
      </c>
      <c r="T7" s="14" t="str">
        <f t="shared" si="1"/>
        <v/>
      </c>
      <c r="U7" s="14" t="str">
        <f t="shared" si="1"/>
        <v/>
      </c>
      <c r="V7" s="14" t="str">
        <f t="shared" si="1"/>
        <v/>
      </c>
      <c r="W7" s="14" t="str">
        <f t="shared" si="1"/>
        <v/>
      </c>
      <c r="X7" s="14" t="str">
        <f t="shared" si="1"/>
        <v/>
      </c>
      <c r="Y7" s="14" t="str">
        <f t="shared" si="1"/>
        <v/>
      </c>
      <c r="Z7" s="14" t="str">
        <f t="shared" si="1"/>
        <v/>
      </c>
      <c r="AA7" s="14" t="str">
        <f t="shared" si="1"/>
        <v/>
      </c>
      <c r="AB7" s="14" t="str">
        <f t="shared" ref="AB7:AK16" si="2">IF(AND(AB$6&gt;=$D7,AB$6&lt;=$E7),1,"")</f>
        <v/>
      </c>
      <c r="AC7" s="14" t="str">
        <f t="shared" si="2"/>
        <v/>
      </c>
      <c r="AD7" s="14" t="str">
        <f t="shared" si="2"/>
        <v/>
      </c>
      <c r="AE7" s="14" t="str">
        <f t="shared" si="2"/>
        <v/>
      </c>
      <c r="AF7" s="14" t="str">
        <f t="shared" si="2"/>
        <v/>
      </c>
      <c r="AG7" s="14" t="str">
        <f t="shared" si="2"/>
        <v/>
      </c>
      <c r="AH7" s="14" t="str">
        <f t="shared" si="2"/>
        <v/>
      </c>
      <c r="AI7" s="14" t="str">
        <f t="shared" si="2"/>
        <v/>
      </c>
      <c r="AJ7" s="14" t="str">
        <f t="shared" si="2"/>
        <v/>
      </c>
      <c r="AK7" s="14" t="str">
        <f t="shared" si="2"/>
        <v/>
      </c>
      <c r="AL7" s="14" t="str">
        <f t="shared" ref="AL7:AQ16" si="3">IF(AND(AL$6&gt;=$D7,AL$6&lt;=$E7),1,"")</f>
        <v/>
      </c>
      <c r="AM7" s="14" t="str">
        <f t="shared" si="3"/>
        <v/>
      </c>
      <c r="AN7" s="14" t="str">
        <f t="shared" si="3"/>
        <v/>
      </c>
      <c r="AO7" s="14" t="str">
        <f t="shared" si="3"/>
        <v/>
      </c>
      <c r="AP7" s="14" t="str">
        <f t="shared" si="3"/>
        <v/>
      </c>
      <c r="AQ7" s="14" t="str">
        <f t="shared" si="3"/>
        <v/>
      </c>
    </row>
    <row r="8" spans="1:43" ht="25.05" customHeight="1">
      <c r="A8" s="2" t="s">
        <v>81</v>
      </c>
      <c r="B8" s="2" t="s">
        <v>82</v>
      </c>
      <c r="C8" s="2" t="s">
        <v>84</v>
      </c>
      <c r="D8" s="2">
        <f>'02_CONG_VIEC'!H8</f>
        <v>1</v>
      </c>
      <c r="E8" s="2">
        <f>'02_CONG_VIEC'!I8</f>
        <v>2</v>
      </c>
      <c r="F8" s="2">
        <f>'02_CONG_VIEC'!E8</f>
        <v>2</v>
      </c>
      <c r="G8" s="2" t="s">
        <v>83</v>
      </c>
      <c r="H8" s="14" t="str">
        <f t="shared" si="0"/>
        <v/>
      </c>
      <c r="I8" s="14" t="str">
        <f t="shared" si="0"/>
        <v/>
      </c>
      <c r="J8" s="14" t="str">
        <f t="shared" si="0"/>
        <v/>
      </c>
      <c r="K8" s="14" t="str">
        <f t="shared" si="0"/>
        <v/>
      </c>
      <c r="L8" s="14" t="str">
        <f t="shared" si="0"/>
        <v/>
      </c>
      <c r="M8" s="14" t="str">
        <f t="shared" si="0"/>
        <v/>
      </c>
      <c r="N8" s="14" t="str">
        <f t="shared" si="0"/>
        <v/>
      </c>
      <c r="O8" s="14" t="str">
        <f t="shared" si="0"/>
        <v/>
      </c>
      <c r="P8" s="14" t="str">
        <f t="shared" si="0"/>
        <v/>
      </c>
      <c r="Q8" s="14" t="str">
        <f t="shared" si="0"/>
        <v/>
      </c>
      <c r="R8" s="14" t="str">
        <f t="shared" si="1"/>
        <v/>
      </c>
      <c r="S8" s="14" t="str">
        <f t="shared" si="1"/>
        <v/>
      </c>
      <c r="T8" s="14" t="str">
        <f t="shared" si="1"/>
        <v/>
      </c>
      <c r="U8" s="14" t="str">
        <f t="shared" si="1"/>
        <v/>
      </c>
      <c r="V8" s="14" t="str">
        <f t="shared" si="1"/>
        <v/>
      </c>
      <c r="W8" s="14" t="str">
        <f t="shared" si="1"/>
        <v/>
      </c>
      <c r="X8" s="14" t="str">
        <f t="shared" si="1"/>
        <v/>
      </c>
      <c r="Y8" s="14" t="str">
        <f t="shared" si="1"/>
        <v/>
      </c>
      <c r="Z8" s="14" t="str">
        <f t="shared" si="1"/>
        <v/>
      </c>
      <c r="AA8" s="14" t="str">
        <f t="shared" si="1"/>
        <v/>
      </c>
      <c r="AB8" s="14" t="str">
        <f t="shared" si="2"/>
        <v/>
      </c>
      <c r="AC8" s="14" t="str">
        <f t="shared" si="2"/>
        <v/>
      </c>
      <c r="AD8" s="14" t="str">
        <f t="shared" si="2"/>
        <v/>
      </c>
      <c r="AE8" s="14" t="str">
        <f t="shared" si="2"/>
        <v/>
      </c>
      <c r="AF8" s="14" t="str">
        <f t="shared" si="2"/>
        <v/>
      </c>
      <c r="AG8" s="14" t="str">
        <f t="shared" si="2"/>
        <v/>
      </c>
      <c r="AH8" s="14" t="str">
        <f t="shared" si="2"/>
        <v/>
      </c>
      <c r="AI8" s="14" t="str">
        <f t="shared" si="2"/>
        <v/>
      </c>
      <c r="AJ8" s="14" t="str">
        <f t="shared" si="2"/>
        <v/>
      </c>
      <c r="AK8" s="14" t="str">
        <f t="shared" si="2"/>
        <v/>
      </c>
      <c r="AL8" s="14" t="str">
        <f t="shared" si="3"/>
        <v/>
      </c>
      <c r="AM8" s="14" t="str">
        <f t="shared" si="3"/>
        <v/>
      </c>
      <c r="AN8" s="14" t="str">
        <f t="shared" si="3"/>
        <v/>
      </c>
      <c r="AO8" s="14" t="str">
        <f t="shared" si="3"/>
        <v/>
      </c>
      <c r="AP8" s="14" t="str">
        <f t="shared" si="3"/>
        <v/>
      </c>
      <c r="AQ8" s="14" t="str">
        <f t="shared" si="3"/>
        <v/>
      </c>
    </row>
    <row r="9" spans="1:43" ht="25.05" customHeight="1">
      <c r="A9" t="s">
        <v>87</v>
      </c>
      <c r="B9" t="s">
        <v>88</v>
      </c>
      <c r="C9" t="s">
        <v>89</v>
      </c>
      <c r="D9">
        <f>'02_CONG_VIEC'!H9</f>
        <v>3</v>
      </c>
      <c r="E9">
        <f>'02_CONG_VIEC'!I9</f>
        <v>4</v>
      </c>
      <c r="F9">
        <f>'02_CONG_VIEC'!E9</f>
        <v>2</v>
      </c>
      <c r="G9" t="s">
        <v>76</v>
      </c>
      <c r="H9" s="14" t="str">
        <f t="shared" si="0"/>
        <v/>
      </c>
      <c r="I9" s="14" t="str">
        <f t="shared" si="0"/>
        <v/>
      </c>
      <c r="J9" s="14" t="str">
        <f t="shared" si="0"/>
        <v/>
      </c>
      <c r="K9" s="14" t="str">
        <f t="shared" si="0"/>
        <v/>
      </c>
      <c r="L9" s="14" t="str">
        <f t="shared" si="0"/>
        <v/>
      </c>
      <c r="M9" s="14" t="str">
        <f t="shared" si="0"/>
        <v/>
      </c>
      <c r="N9" s="14" t="str">
        <f t="shared" si="0"/>
        <v/>
      </c>
      <c r="O9" s="14" t="str">
        <f t="shared" si="0"/>
        <v/>
      </c>
      <c r="P9" s="14" t="str">
        <f t="shared" si="0"/>
        <v/>
      </c>
      <c r="Q9" s="14" t="str">
        <f t="shared" si="0"/>
        <v/>
      </c>
      <c r="R9" s="14" t="str">
        <f t="shared" si="1"/>
        <v/>
      </c>
      <c r="S9" s="14" t="str">
        <f t="shared" si="1"/>
        <v/>
      </c>
      <c r="T9" s="14" t="str">
        <f t="shared" si="1"/>
        <v/>
      </c>
      <c r="U9" s="14" t="str">
        <f t="shared" si="1"/>
        <v/>
      </c>
      <c r="V9" s="14" t="str">
        <f t="shared" si="1"/>
        <v/>
      </c>
      <c r="W9" s="14" t="str">
        <f t="shared" si="1"/>
        <v/>
      </c>
      <c r="X9" s="14" t="str">
        <f t="shared" si="1"/>
        <v/>
      </c>
      <c r="Y9" s="14" t="str">
        <f t="shared" si="1"/>
        <v/>
      </c>
      <c r="Z9" s="14" t="str">
        <f t="shared" si="1"/>
        <v/>
      </c>
      <c r="AA9" s="14" t="str">
        <f t="shared" si="1"/>
        <v/>
      </c>
      <c r="AB9" s="14" t="str">
        <f t="shared" si="2"/>
        <v/>
      </c>
      <c r="AC9" s="14" t="str">
        <f t="shared" si="2"/>
        <v/>
      </c>
      <c r="AD9" s="14" t="str">
        <f t="shared" si="2"/>
        <v/>
      </c>
      <c r="AE9" s="14" t="str">
        <f t="shared" si="2"/>
        <v/>
      </c>
      <c r="AF9" s="14" t="str">
        <f t="shared" si="2"/>
        <v/>
      </c>
      <c r="AG9" s="14" t="str">
        <f t="shared" si="2"/>
        <v/>
      </c>
      <c r="AH9" s="14" t="str">
        <f t="shared" si="2"/>
        <v/>
      </c>
      <c r="AI9" s="14" t="str">
        <f t="shared" si="2"/>
        <v/>
      </c>
      <c r="AJ9" s="14" t="str">
        <f t="shared" si="2"/>
        <v/>
      </c>
      <c r="AK9" s="14" t="str">
        <f t="shared" si="2"/>
        <v/>
      </c>
      <c r="AL9" s="14" t="str">
        <f t="shared" si="3"/>
        <v/>
      </c>
      <c r="AM9" s="14" t="str">
        <f t="shared" si="3"/>
        <v/>
      </c>
      <c r="AN9" s="14" t="str">
        <f t="shared" si="3"/>
        <v/>
      </c>
      <c r="AO9" s="14" t="str">
        <f t="shared" si="3"/>
        <v/>
      </c>
      <c r="AP9" s="14" t="str">
        <f t="shared" si="3"/>
        <v/>
      </c>
      <c r="AQ9" s="14" t="str">
        <f t="shared" si="3"/>
        <v/>
      </c>
    </row>
    <row r="10" spans="1:43" ht="25.05" customHeight="1">
      <c r="A10" s="2" t="s">
        <v>92</v>
      </c>
      <c r="B10" s="2" t="s">
        <v>93</v>
      </c>
      <c r="C10" s="2" t="s">
        <v>77</v>
      </c>
      <c r="D10" s="2">
        <f>'02_CONG_VIEC'!H10</f>
        <v>5</v>
      </c>
      <c r="E10" s="2">
        <f>'02_CONG_VIEC'!I10</f>
        <v>5</v>
      </c>
      <c r="F10" s="2">
        <f>'02_CONG_VIEC'!E10</f>
        <v>1</v>
      </c>
      <c r="G10" s="2" t="s">
        <v>76</v>
      </c>
      <c r="H10" s="14" t="str">
        <f t="shared" si="0"/>
        <v/>
      </c>
      <c r="I10" s="14" t="str">
        <f t="shared" si="0"/>
        <v/>
      </c>
      <c r="J10" s="14" t="str">
        <f t="shared" si="0"/>
        <v/>
      </c>
      <c r="K10" s="14" t="str">
        <f t="shared" si="0"/>
        <v/>
      </c>
      <c r="L10" s="14" t="str">
        <f t="shared" si="0"/>
        <v/>
      </c>
      <c r="M10" s="14" t="str">
        <f t="shared" si="0"/>
        <v/>
      </c>
      <c r="N10" s="14" t="str">
        <f t="shared" si="0"/>
        <v/>
      </c>
      <c r="O10" s="14" t="str">
        <f t="shared" si="0"/>
        <v/>
      </c>
      <c r="P10" s="14" t="str">
        <f t="shared" si="0"/>
        <v/>
      </c>
      <c r="Q10" s="14" t="str">
        <f t="shared" si="0"/>
        <v/>
      </c>
      <c r="R10" s="14" t="str">
        <f t="shared" si="1"/>
        <v/>
      </c>
      <c r="S10" s="14" t="str">
        <f t="shared" si="1"/>
        <v/>
      </c>
      <c r="T10" s="14" t="str">
        <f t="shared" si="1"/>
        <v/>
      </c>
      <c r="U10" s="14" t="str">
        <f t="shared" si="1"/>
        <v/>
      </c>
      <c r="V10" s="14" t="str">
        <f t="shared" si="1"/>
        <v/>
      </c>
      <c r="W10" s="14" t="str">
        <f t="shared" si="1"/>
        <v/>
      </c>
      <c r="X10" s="14" t="str">
        <f t="shared" si="1"/>
        <v/>
      </c>
      <c r="Y10" s="14" t="str">
        <f t="shared" si="1"/>
        <v/>
      </c>
      <c r="Z10" s="14" t="str">
        <f t="shared" si="1"/>
        <v/>
      </c>
      <c r="AA10" s="14" t="str">
        <f t="shared" si="1"/>
        <v/>
      </c>
      <c r="AB10" s="14" t="str">
        <f t="shared" si="2"/>
        <v/>
      </c>
      <c r="AC10" s="14" t="str">
        <f t="shared" si="2"/>
        <v/>
      </c>
      <c r="AD10" s="14" t="str">
        <f t="shared" si="2"/>
        <v/>
      </c>
      <c r="AE10" s="14" t="str">
        <f t="shared" si="2"/>
        <v/>
      </c>
      <c r="AF10" s="14" t="str">
        <f t="shared" si="2"/>
        <v/>
      </c>
      <c r="AG10" s="14" t="str">
        <f t="shared" si="2"/>
        <v/>
      </c>
      <c r="AH10" s="14" t="str">
        <f t="shared" si="2"/>
        <v/>
      </c>
      <c r="AI10" s="14" t="str">
        <f t="shared" si="2"/>
        <v/>
      </c>
      <c r="AJ10" s="14" t="str">
        <f t="shared" si="2"/>
        <v/>
      </c>
      <c r="AK10" s="14" t="str">
        <f t="shared" si="2"/>
        <v/>
      </c>
      <c r="AL10" s="14" t="str">
        <f t="shared" si="3"/>
        <v/>
      </c>
      <c r="AM10" s="14" t="str">
        <f t="shared" si="3"/>
        <v/>
      </c>
      <c r="AN10" s="14" t="str">
        <f t="shared" si="3"/>
        <v/>
      </c>
      <c r="AO10" s="14" t="str">
        <f t="shared" si="3"/>
        <v/>
      </c>
      <c r="AP10" s="14" t="str">
        <f t="shared" si="3"/>
        <v/>
      </c>
      <c r="AQ10" s="14" t="str">
        <f t="shared" si="3"/>
        <v/>
      </c>
    </row>
    <row r="11" spans="1:43" ht="25.05" customHeight="1">
      <c r="A11" t="s">
        <v>96</v>
      </c>
      <c r="B11" t="s">
        <v>97</v>
      </c>
      <c r="C11" t="s">
        <v>84</v>
      </c>
      <c r="D11">
        <f>'02_CONG_VIEC'!H11</f>
        <v>3</v>
      </c>
      <c r="E11">
        <f>'02_CONG_VIEC'!I11</f>
        <v>5</v>
      </c>
      <c r="F11">
        <f>'02_CONG_VIEC'!E11</f>
        <v>3</v>
      </c>
      <c r="G11" t="s">
        <v>83</v>
      </c>
      <c r="H11" s="14" t="str">
        <f t="shared" si="0"/>
        <v/>
      </c>
      <c r="I11" s="14" t="str">
        <f t="shared" si="0"/>
        <v/>
      </c>
      <c r="J11" s="14" t="str">
        <f t="shared" si="0"/>
        <v/>
      </c>
      <c r="K11" s="14" t="str">
        <f t="shared" si="0"/>
        <v/>
      </c>
      <c r="L11" s="14" t="str">
        <f t="shared" si="0"/>
        <v/>
      </c>
      <c r="M11" s="14" t="str">
        <f t="shared" si="0"/>
        <v/>
      </c>
      <c r="N11" s="14" t="str">
        <f t="shared" si="0"/>
        <v/>
      </c>
      <c r="O11" s="14" t="str">
        <f t="shared" si="0"/>
        <v/>
      </c>
      <c r="P11" s="14" t="str">
        <f t="shared" si="0"/>
        <v/>
      </c>
      <c r="Q11" s="14" t="str">
        <f t="shared" si="0"/>
        <v/>
      </c>
      <c r="R11" s="14" t="str">
        <f t="shared" si="1"/>
        <v/>
      </c>
      <c r="S11" s="14" t="str">
        <f t="shared" si="1"/>
        <v/>
      </c>
      <c r="T11" s="14" t="str">
        <f t="shared" si="1"/>
        <v/>
      </c>
      <c r="U11" s="14" t="str">
        <f t="shared" si="1"/>
        <v/>
      </c>
      <c r="V11" s="14" t="str">
        <f t="shared" si="1"/>
        <v/>
      </c>
      <c r="W11" s="14" t="str">
        <f t="shared" si="1"/>
        <v/>
      </c>
      <c r="X11" s="14" t="str">
        <f t="shared" si="1"/>
        <v/>
      </c>
      <c r="Y11" s="14" t="str">
        <f t="shared" si="1"/>
        <v/>
      </c>
      <c r="Z11" s="14" t="str">
        <f t="shared" si="1"/>
        <v/>
      </c>
      <c r="AA11" s="14" t="str">
        <f t="shared" si="1"/>
        <v/>
      </c>
      <c r="AB11" s="14" t="str">
        <f t="shared" si="2"/>
        <v/>
      </c>
      <c r="AC11" s="14" t="str">
        <f t="shared" si="2"/>
        <v/>
      </c>
      <c r="AD11" s="14" t="str">
        <f t="shared" si="2"/>
        <v/>
      </c>
      <c r="AE11" s="14" t="str">
        <f t="shared" si="2"/>
        <v/>
      </c>
      <c r="AF11" s="14" t="str">
        <f t="shared" si="2"/>
        <v/>
      </c>
      <c r="AG11" s="14" t="str">
        <f t="shared" si="2"/>
        <v/>
      </c>
      <c r="AH11" s="14" t="str">
        <f t="shared" si="2"/>
        <v/>
      </c>
      <c r="AI11" s="14" t="str">
        <f t="shared" si="2"/>
        <v/>
      </c>
      <c r="AJ11" s="14" t="str">
        <f t="shared" si="2"/>
        <v/>
      </c>
      <c r="AK11" s="14" t="str">
        <f t="shared" si="2"/>
        <v/>
      </c>
      <c r="AL11" s="14" t="str">
        <f t="shared" si="3"/>
        <v/>
      </c>
      <c r="AM11" s="14" t="str">
        <f t="shared" si="3"/>
        <v/>
      </c>
      <c r="AN11" s="14" t="str">
        <f t="shared" si="3"/>
        <v/>
      </c>
      <c r="AO11" s="14" t="str">
        <f t="shared" si="3"/>
        <v/>
      </c>
      <c r="AP11" s="14" t="str">
        <f t="shared" si="3"/>
        <v/>
      </c>
      <c r="AQ11" s="14" t="str">
        <f t="shared" si="3"/>
        <v/>
      </c>
    </row>
    <row r="12" spans="1:43" ht="25.05" customHeight="1">
      <c r="A12" s="2" t="s">
        <v>100</v>
      </c>
      <c r="B12" s="2" t="s">
        <v>101</v>
      </c>
      <c r="C12" s="2" t="s">
        <v>84</v>
      </c>
      <c r="D12" s="2">
        <f>'02_CONG_VIEC'!H12</f>
        <v>3</v>
      </c>
      <c r="E12" s="2">
        <f>'02_CONG_VIEC'!I12</f>
        <v>6</v>
      </c>
      <c r="F12" s="2">
        <f>'02_CONG_VIEC'!E12</f>
        <v>4</v>
      </c>
      <c r="G12" s="2" t="s">
        <v>83</v>
      </c>
      <c r="H12" s="14" t="str">
        <f t="shared" si="0"/>
        <v/>
      </c>
      <c r="I12" s="14" t="str">
        <f t="shared" si="0"/>
        <v/>
      </c>
      <c r="J12" s="14" t="str">
        <f t="shared" si="0"/>
        <v/>
      </c>
      <c r="K12" s="14" t="str">
        <f t="shared" si="0"/>
        <v/>
      </c>
      <c r="L12" s="14" t="str">
        <f t="shared" si="0"/>
        <v/>
      </c>
      <c r="M12" s="14" t="str">
        <f t="shared" si="0"/>
        <v/>
      </c>
      <c r="N12" s="14" t="str">
        <f t="shared" si="0"/>
        <v/>
      </c>
      <c r="O12" s="14" t="str">
        <f t="shared" si="0"/>
        <v/>
      </c>
      <c r="P12" s="14" t="str">
        <f t="shared" si="0"/>
        <v/>
      </c>
      <c r="Q12" s="14" t="str">
        <f t="shared" si="0"/>
        <v/>
      </c>
      <c r="R12" s="14" t="str">
        <f t="shared" si="1"/>
        <v/>
      </c>
      <c r="S12" s="14" t="str">
        <f t="shared" si="1"/>
        <v/>
      </c>
      <c r="T12" s="14" t="str">
        <f t="shared" si="1"/>
        <v/>
      </c>
      <c r="U12" s="14" t="str">
        <f t="shared" si="1"/>
        <v/>
      </c>
      <c r="V12" s="14" t="str">
        <f t="shared" si="1"/>
        <v/>
      </c>
      <c r="W12" s="14" t="str">
        <f t="shared" si="1"/>
        <v/>
      </c>
      <c r="X12" s="14" t="str">
        <f t="shared" si="1"/>
        <v/>
      </c>
      <c r="Y12" s="14" t="str">
        <f t="shared" si="1"/>
        <v/>
      </c>
      <c r="Z12" s="14" t="str">
        <f t="shared" si="1"/>
        <v/>
      </c>
      <c r="AA12" s="14" t="str">
        <f t="shared" si="1"/>
        <v/>
      </c>
      <c r="AB12" s="14" t="str">
        <f t="shared" si="2"/>
        <v/>
      </c>
      <c r="AC12" s="14" t="str">
        <f t="shared" si="2"/>
        <v/>
      </c>
      <c r="AD12" s="14" t="str">
        <f t="shared" si="2"/>
        <v/>
      </c>
      <c r="AE12" s="14" t="str">
        <f t="shared" si="2"/>
        <v/>
      </c>
      <c r="AF12" s="14" t="str">
        <f t="shared" si="2"/>
        <v/>
      </c>
      <c r="AG12" s="14" t="str">
        <f t="shared" si="2"/>
        <v/>
      </c>
      <c r="AH12" s="14" t="str">
        <f t="shared" si="2"/>
        <v/>
      </c>
      <c r="AI12" s="14" t="str">
        <f t="shared" si="2"/>
        <v/>
      </c>
      <c r="AJ12" s="14" t="str">
        <f t="shared" si="2"/>
        <v/>
      </c>
      <c r="AK12" s="14" t="str">
        <f t="shared" si="2"/>
        <v/>
      </c>
      <c r="AL12" s="14" t="str">
        <f t="shared" si="3"/>
        <v/>
      </c>
      <c r="AM12" s="14" t="str">
        <f t="shared" si="3"/>
        <v/>
      </c>
      <c r="AN12" s="14" t="str">
        <f t="shared" si="3"/>
        <v/>
      </c>
      <c r="AO12" s="14" t="str">
        <f t="shared" si="3"/>
        <v/>
      </c>
      <c r="AP12" s="14" t="str">
        <f t="shared" si="3"/>
        <v/>
      </c>
      <c r="AQ12" s="14" t="str">
        <f t="shared" si="3"/>
        <v/>
      </c>
    </row>
    <row r="13" spans="1:43" ht="25.05" customHeight="1">
      <c r="A13" t="s">
        <v>104</v>
      </c>
      <c r="B13" t="s">
        <v>105</v>
      </c>
      <c r="C13" t="s">
        <v>84</v>
      </c>
      <c r="D13">
        <f>'02_CONG_VIEC'!H13</f>
        <v>3</v>
      </c>
      <c r="E13">
        <f>'02_CONG_VIEC'!I13</f>
        <v>10</v>
      </c>
      <c r="F13">
        <f>'02_CONG_VIEC'!E13</f>
        <v>8</v>
      </c>
      <c r="G13" t="s">
        <v>83</v>
      </c>
      <c r="H13" s="14" t="str">
        <f t="shared" si="0"/>
        <v/>
      </c>
      <c r="I13" s="14" t="str">
        <f t="shared" si="0"/>
        <v/>
      </c>
      <c r="J13" s="14" t="str">
        <f t="shared" si="0"/>
        <v/>
      </c>
      <c r="K13" s="14" t="str">
        <f t="shared" si="0"/>
        <v/>
      </c>
      <c r="L13" s="14" t="str">
        <f t="shared" si="0"/>
        <v/>
      </c>
      <c r="M13" s="14" t="str">
        <f t="shared" si="0"/>
        <v/>
      </c>
      <c r="N13" s="14" t="str">
        <f t="shared" si="0"/>
        <v/>
      </c>
      <c r="O13" s="14" t="str">
        <f t="shared" si="0"/>
        <v/>
      </c>
      <c r="P13" s="14" t="str">
        <f t="shared" si="0"/>
        <v/>
      </c>
      <c r="Q13" s="14" t="str">
        <f t="shared" si="0"/>
        <v/>
      </c>
      <c r="R13" s="14" t="str">
        <f t="shared" si="1"/>
        <v/>
      </c>
      <c r="S13" s="14" t="str">
        <f t="shared" si="1"/>
        <v/>
      </c>
      <c r="T13" s="14" t="str">
        <f t="shared" si="1"/>
        <v/>
      </c>
      <c r="U13" s="14" t="str">
        <f t="shared" si="1"/>
        <v/>
      </c>
      <c r="V13" s="14" t="str">
        <f t="shared" si="1"/>
        <v/>
      </c>
      <c r="W13" s="14" t="str">
        <f t="shared" si="1"/>
        <v/>
      </c>
      <c r="X13" s="14" t="str">
        <f t="shared" si="1"/>
        <v/>
      </c>
      <c r="Y13" s="14" t="str">
        <f t="shared" si="1"/>
        <v/>
      </c>
      <c r="Z13" s="14" t="str">
        <f t="shared" si="1"/>
        <v/>
      </c>
      <c r="AA13" s="14" t="str">
        <f t="shared" si="1"/>
        <v/>
      </c>
      <c r="AB13" s="14" t="str">
        <f t="shared" si="2"/>
        <v/>
      </c>
      <c r="AC13" s="14" t="str">
        <f t="shared" si="2"/>
        <v/>
      </c>
      <c r="AD13" s="14" t="str">
        <f t="shared" si="2"/>
        <v/>
      </c>
      <c r="AE13" s="14" t="str">
        <f t="shared" si="2"/>
        <v/>
      </c>
      <c r="AF13" s="14" t="str">
        <f t="shared" si="2"/>
        <v/>
      </c>
      <c r="AG13" s="14" t="str">
        <f t="shared" si="2"/>
        <v/>
      </c>
      <c r="AH13" s="14" t="str">
        <f t="shared" si="2"/>
        <v/>
      </c>
      <c r="AI13" s="14" t="str">
        <f t="shared" si="2"/>
        <v/>
      </c>
      <c r="AJ13" s="14" t="str">
        <f t="shared" si="2"/>
        <v/>
      </c>
      <c r="AK13" s="14" t="str">
        <f t="shared" si="2"/>
        <v/>
      </c>
      <c r="AL13" s="14" t="str">
        <f t="shared" si="3"/>
        <v/>
      </c>
      <c r="AM13" s="14" t="str">
        <f t="shared" si="3"/>
        <v/>
      </c>
      <c r="AN13" s="14" t="str">
        <f t="shared" si="3"/>
        <v/>
      </c>
      <c r="AO13" s="14" t="str">
        <f t="shared" si="3"/>
        <v/>
      </c>
      <c r="AP13" s="14" t="str">
        <f t="shared" si="3"/>
        <v/>
      </c>
      <c r="AQ13" s="14" t="str">
        <f t="shared" si="3"/>
        <v/>
      </c>
    </row>
    <row r="14" spans="1:43" ht="25.05" customHeight="1">
      <c r="A14" s="2" t="s">
        <v>108</v>
      </c>
      <c r="B14" s="2" t="s">
        <v>109</v>
      </c>
      <c r="C14" s="2" t="s">
        <v>84</v>
      </c>
      <c r="D14" s="2">
        <f>'02_CONG_VIEC'!H14</f>
        <v>3</v>
      </c>
      <c r="E14" s="2">
        <f>'02_CONG_VIEC'!I14</f>
        <v>6</v>
      </c>
      <c r="F14" s="2">
        <f>'02_CONG_VIEC'!E14</f>
        <v>4</v>
      </c>
      <c r="G14" s="2" t="s">
        <v>83</v>
      </c>
      <c r="H14" s="14" t="str">
        <f t="shared" si="0"/>
        <v/>
      </c>
      <c r="I14" s="14" t="str">
        <f t="shared" si="0"/>
        <v/>
      </c>
      <c r="J14" s="14" t="str">
        <f t="shared" si="0"/>
        <v/>
      </c>
      <c r="K14" s="14" t="str">
        <f t="shared" si="0"/>
        <v/>
      </c>
      <c r="L14" s="14" t="str">
        <f t="shared" si="0"/>
        <v/>
      </c>
      <c r="M14" s="14" t="str">
        <f t="shared" si="0"/>
        <v/>
      </c>
      <c r="N14" s="14" t="str">
        <f t="shared" si="0"/>
        <v/>
      </c>
      <c r="O14" s="14" t="str">
        <f t="shared" si="0"/>
        <v/>
      </c>
      <c r="P14" s="14" t="str">
        <f t="shared" si="0"/>
        <v/>
      </c>
      <c r="Q14" s="14" t="str">
        <f t="shared" si="0"/>
        <v/>
      </c>
      <c r="R14" s="14" t="str">
        <f t="shared" si="1"/>
        <v/>
      </c>
      <c r="S14" s="14" t="str">
        <f t="shared" si="1"/>
        <v/>
      </c>
      <c r="T14" s="14" t="str">
        <f t="shared" si="1"/>
        <v/>
      </c>
      <c r="U14" s="14" t="str">
        <f t="shared" si="1"/>
        <v/>
      </c>
      <c r="V14" s="14" t="str">
        <f t="shared" si="1"/>
        <v/>
      </c>
      <c r="W14" s="14" t="str">
        <f t="shared" si="1"/>
        <v/>
      </c>
      <c r="X14" s="14" t="str">
        <f t="shared" si="1"/>
        <v/>
      </c>
      <c r="Y14" s="14" t="str">
        <f t="shared" si="1"/>
        <v/>
      </c>
      <c r="Z14" s="14" t="str">
        <f t="shared" si="1"/>
        <v/>
      </c>
      <c r="AA14" s="14" t="str">
        <f t="shared" si="1"/>
        <v/>
      </c>
      <c r="AB14" s="14" t="str">
        <f t="shared" si="2"/>
        <v/>
      </c>
      <c r="AC14" s="14" t="str">
        <f t="shared" si="2"/>
        <v/>
      </c>
      <c r="AD14" s="14" t="str">
        <f t="shared" si="2"/>
        <v/>
      </c>
      <c r="AE14" s="14" t="str">
        <f t="shared" si="2"/>
        <v/>
      </c>
      <c r="AF14" s="14" t="str">
        <f t="shared" si="2"/>
        <v/>
      </c>
      <c r="AG14" s="14" t="str">
        <f t="shared" si="2"/>
        <v/>
      </c>
      <c r="AH14" s="14" t="str">
        <f t="shared" si="2"/>
        <v/>
      </c>
      <c r="AI14" s="14" t="str">
        <f t="shared" si="2"/>
        <v/>
      </c>
      <c r="AJ14" s="14" t="str">
        <f t="shared" si="2"/>
        <v/>
      </c>
      <c r="AK14" s="14" t="str">
        <f t="shared" si="2"/>
        <v/>
      </c>
      <c r="AL14" s="14" t="str">
        <f t="shared" si="3"/>
        <v/>
      </c>
      <c r="AM14" s="14" t="str">
        <f t="shared" si="3"/>
        <v/>
      </c>
      <c r="AN14" s="14" t="str">
        <f t="shared" si="3"/>
        <v/>
      </c>
      <c r="AO14" s="14" t="str">
        <f t="shared" si="3"/>
        <v/>
      </c>
      <c r="AP14" s="14" t="str">
        <f t="shared" si="3"/>
        <v/>
      </c>
      <c r="AQ14" s="14" t="str">
        <f t="shared" si="3"/>
        <v/>
      </c>
    </row>
    <row r="15" spans="1:43" ht="25.05" customHeight="1">
      <c r="A15" t="s">
        <v>112</v>
      </c>
      <c r="B15" t="s">
        <v>113</v>
      </c>
      <c r="C15" t="s">
        <v>115</v>
      </c>
      <c r="D15">
        <f>'02_CONG_VIEC'!H15</f>
        <v>6</v>
      </c>
      <c r="E15">
        <f>'02_CONG_VIEC'!I15</f>
        <v>8</v>
      </c>
      <c r="F15">
        <f>'02_CONG_VIEC'!E15</f>
        <v>3</v>
      </c>
      <c r="G15" t="s">
        <v>114</v>
      </c>
      <c r="H15" s="14" t="str">
        <f t="shared" si="0"/>
        <v/>
      </c>
      <c r="I15" s="14" t="str">
        <f t="shared" si="0"/>
        <v/>
      </c>
      <c r="J15" s="14" t="str">
        <f t="shared" si="0"/>
        <v/>
      </c>
      <c r="K15" s="14" t="str">
        <f t="shared" si="0"/>
        <v/>
      </c>
      <c r="L15" s="14" t="str">
        <f t="shared" si="0"/>
        <v/>
      </c>
      <c r="M15" s="14" t="str">
        <f t="shared" si="0"/>
        <v/>
      </c>
      <c r="N15" s="14" t="str">
        <f t="shared" si="0"/>
        <v/>
      </c>
      <c r="O15" s="14" t="str">
        <f t="shared" si="0"/>
        <v/>
      </c>
      <c r="P15" s="14" t="str">
        <f t="shared" si="0"/>
        <v/>
      </c>
      <c r="Q15" s="14" t="str">
        <f t="shared" si="0"/>
        <v/>
      </c>
      <c r="R15" s="14" t="str">
        <f t="shared" si="1"/>
        <v/>
      </c>
      <c r="S15" s="14" t="str">
        <f t="shared" si="1"/>
        <v/>
      </c>
      <c r="T15" s="14" t="str">
        <f t="shared" si="1"/>
        <v/>
      </c>
      <c r="U15" s="14" t="str">
        <f t="shared" si="1"/>
        <v/>
      </c>
      <c r="V15" s="14" t="str">
        <f t="shared" si="1"/>
        <v/>
      </c>
      <c r="W15" s="14" t="str">
        <f t="shared" si="1"/>
        <v/>
      </c>
      <c r="X15" s="14" t="str">
        <f t="shared" si="1"/>
        <v/>
      </c>
      <c r="Y15" s="14" t="str">
        <f t="shared" si="1"/>
        <v/>
      </c>
      <c r="Z15" s="14" t="str">
        <f t="shared" si="1"/>
        <v/>
      </c>
      <c r="AA15" s="14" t="str">
        <f t="shared" si="1"/>
        <v/>
      </c>
      <c r="AB15" s="14" t="str">
        <f t="shared" si="2"/>
        <v/>
      </c>
      <c r="AC15" s="14" t="str">
        <f t="shared" si="2"/>
        <v/>
      </c>
      <c r="AD15" s="14" t="str">
        <f t="shared" si="2"/>
        <v/>
      </c>
      <c r="AE15" s="14" t="str">
        <f t="shared" si="2"/>
        <v/>
      </c>
      <c r="AF15" s="14" t="str">
        <f t="shared" si="2"/>
        <v/>
      </c>
      <c r="AG15" s="14" t="str">
        <f t="shared" si="2"/>
        <v/>
      </c>
      <c r="AH15" s="14" t="str">
        <f t="shared" si="2"/>
        <v/>
      </c>
      <c r="AI15" s="14" t="str">
        <f t="shared" si="2"/>
        <v/>
      </c>
      <c r="AJ15" s="14" t="str">
        <f t="shared" si="2"/>
        <v/>
      </c>
      <c r="AK15" s="14" t="str">
        <f t="shared" si="2"/>
        <v/>
      </c>
      <c r="AL15" s="14" t="str">
        <f t="shared" si="3"/>
        <v/>
      </c>
      <c r="AM15" s="14" t="str">
        <f t="shared" si="3"/>
        <v/>
      </c>
      <c r="AN15" s="14" t="str">
        <f t="shared" si="3"/>
        <v/>
      </c>
      <c r="AO15" s="14" t="str">
        <f t="shared" si="3"/>
        <v/>
      </c>
      <c r="AP15" s="14" t="str">
        <f t="shared" si="3"/>
        <v/>
      </c>
      <c r="AQ15" s="14" t="str">
        <f t="shared" si="3"/>
        <v/>
      </c>
    </row>
    <row r="16" spans="1:43" ht="25.05" customHeight="1">
      <c r="A16" s="2" t="s">
        <v>118</v>
      </c>
      <c r="B16" s="2" t="s">
        <v>119</v>
      </c>
      <c r="C16" s="2" t="s">
        <v>120</v>
      </c>
      <c r="D16" s="2">
        <f>'02_CONG_VIEC'!H16</f>
        <v>6</v>
      </c>
      <c r="E16" s="2">
        <f>'02_CONG_VIEC'!I16</f>
        <v>8</v>
      </c>
      <c r="F16" s="2">
        <f>'02_CONG_VIEC'!E16</f>
        <v>3</v>
      </c>
      <c r="G16" s="2" t="s">
        <v>114</v>
      </c>
      <c r="H16" s="14" t="str">
        <f t="shared" si="0"/>
        <v/>
      </c>
      <c r="I16" s="14" t="str">
        <f t="shared" si="0"/>
        <v/>
      </c>
      <c r="J16" s="14" t="str">
        <f t="shared" si="0"/>
        <v/>
      </c>
      <c r="K16" s="14" t="str">
        <f t="shared" si="0"/>
        <v/>
      </c>
      <c r="L16" s="14" t="str">
        <f t="shared" si="0"/>
        <v/>
      </c>
      <c r="M16" s="14" t="str">
        <f t="shared" si="0"/>
        <v/>
      </c>
      <c r="N16" s="14" t="str">
        <f t="shared" si="0"/>
        <v/>
      </c>
      <c r="O16" s="14" t="str">
        <f t="shared" si="0"/>
        <v/>
      </c>
      <c r="P16" s="14" t="str">
        <f t="shared" si="0"/>
        <v/>
      </c>
      <c r="Q16" s="14" t="str">
        <f t="shared" si="0"/>
        <v/>
      </c>
      <c r="R16" s="14" t="str">
        <f t="shared" si="1"/>
        <v/>
      </c>
      <c r="S16" s="14" t="str">
        <f t="shared" si="1"/>
        <v/>
      </c>
      <c r="T16" s="14" t="str">
        <f t="shared" si="1"/>
        <v/>
      </c>
      <c r="U16" s="14" t="str">
        <f t="shared" si="1"/>
        <v/>
      </c>
      <c r="V16" s="14" t="str">
        <f t="shared" si="1"/>
        <v/>
      </c>
      <c r="W16" s="14" t="str">
        <f t="shared" si="1"/>
        <v/>
      </c>
      <c r="X16" s="14" t="str">
        <f t="shared" si="1"/>
        <v/>
      </c>
      <c r="Y16" s="14" t="str">
        <f t="shared" si="1"/>
        <v/>
      </c>
      <c r="Z16" s="14" t="str">
        <f t="shared" si="1"/>
        <v/>
      </c>
      <c r="AA16" s="14" t="str">
        <f t="shared" si="1"/>
        <v/>
      </c>
      <c r="AB16" s="14" t="str">
        <f t="shared" si="2"/>
        <v/>
      </c>
      <c r="AC16" s="14" t="str">
        <f t="shared" si="2"/>
        <v/>
      </c>
      <c r="AD16" s="14" t="str">
        <f t="shared" si="2"/>
        <v/>
      </c>
      <c r="AE16" s="14" t="str">
        <f t="shared" si="2"/>
        <v/>
      </c>
      <c r="AF16" s="14" t="str">
        <f t="shared" si="2"/>
        <v/>
      </c>
      <c r="AG16" s="14" t="str">
        <f t="shared" si="2"/>
        <v/>
      </c>
      <c r="AH16" s="14" t="str">
        <f t="shared" si="2"/>
        <v/>
      </c>
      <c r="AI16" s="14" t="str">
        <f t="shared" si="2"/>
        <v/>
      </c>
      <c r="AJ16" s="14" t="str">
        <f t="shared" si="2"/>
        <v/>
      </c>
      <c r="AK16" s="14" t="str">
        <f t="shared" si="2"/>
        <v/>
      </c>
      <c r="AL16" s="14" t="str">
        <f t="shared" si="3"/>
        <v/>
      </c>
      <c r="AM16" s="14" t="str">
        <f t="shared" si="3"/>
        <v/>
      </c>
      <c r="AN16" s="14" t="str">
        <f t="shared" si="3"/>
        <v/>
      </c>
      <c r="AO16" s="14" t="str">
        <f t="shared" si="3"/>
        <v/>
      </c>
      <c r="AP16" s="14" t="str">
        <f t="shared" si="3"/>
        <v/>
      </c>
      <c r="AQ16" s="14" t="str">
        <f t="shared" si="3"/>
        <v/>
      </c>
    </row>
    <row r="17" spans="1:43" ht="25.05" customHeight="1">
      <c r="A17" t="s">
        <v>123</v>
      </c>
      <c r="B17" t="s">
        <v>124</v>
      </c>
      <c r="C17" t="s">
        <v>120</v>
      </c>
      <c r="D17">
        <f>'02_CONG_VIEC'!H17</f>
        <v>9</v>
      </c>
      <c r="E17">
        <f>'02_CONG_VIEC'!I17</f>
        <v>10</v>
      </c>
      <c r="F17">
        <f>'02_CONG_VIEC'!E17</f>
        <v>2</v>
      </c>
      <c r="G17" t="s">
        <v>114</v>
      </c>
      <c r="H17" s="14" t="str">
        <f t="shared" ref="H17:Q26" si="4">IF(AND(H$6&gt;=$D17,H$6&lt;=$E17),1,"")</f>
        <v/>
      </c>
      <c r="I17" s="14" t="str">
        <f t="shared" si="4"/>
        <v/>
      </c>
      <c r="J17" s="14" t="str">
        <f t="shared" si="4"/>
        <v/>
      </c>
      <c r="K17" s="14" t="str">
        <f t="shared" si="4"/>
        <v/>
      </c>
      <c r="L17" s="14" t="str">
        <f t="shared" si="4"/>
        <v/>
      </c>
      <c r="M17" s="14" t="str">
        <f t="shared" si="4"/>
        <v/>
      </c>
      <c r="N17" s="14" t="str">
        <f t="shared" si="4"/>
        <v/>
      </c>
      <c r="O17" s="14" t="str">
        <f t="shared" si="4"/>
        <v/>
      </c>
      <c r="P17" s="14" t="str">
        <f t="shared" si="4"/>
        <v/>
      </c>
      <c r="Q17" s="14" t="str">
        <f t="shared" si="4"/>
        <v/>
      </c>
      <c r="R17" s="14" t="str">
        <f t="shared" ref="R17:AA26" si="5">IF(AND(R$6&gt;=$D17,R$6&lt;=$E17),1,"")</f>
        <v/>
      </c>
      <c r="S17" s="14" t="str">
        <f t="shared" si="5"/>
        <v/>
      </c>
      <c r="T17" s="14" t="str">
        <f t="shared" si="5"/>
        <v/>
      </c>
      <c r="U17" s="14" t="str">
        <f t="shared" si="5"/>
        <v/>
      </c>
      <c r="V17" s="14" t="str">
        <f t="shared" si="5"/>
        <v/>
      </c>
      <c r="W17" s="14" t="str">
        <f t="shared" si="5"/>
        <v/>
      </c>
      <c r="X17" s="14" t="str">
        <f t="shared" si="5"/>
        <v/>
      </c>
      <c r="Y17" s="14" t="str">
        <f t="shared" si="5"/>
        <v/>
      </c>
      <c r="Z17" s="14" t="str">
        <f t="shared" si="5"/>
        <v/>
      </c>
      <c r="AA17" s="14" t="str">
        <f t="shared" si="5"/>
        <v/>
      </c>
      <c r="AB17" s="14" t="str">
        <f t="shared" ref="AB17:AK26" si="6">IF(AND(AB$6&gt;=$D17,AB$6&lt;=$E17),1,"")</f>
        <v/>
      </c>
      <c r="AC17" s="14" t="str">
        <f t="shared" si="6"/>
        <v/>
      </c>
      <c r="AD17" s="14" t="str">
        <f t="shared" si="6"/>
        <v/>
      </c>
      <c r="AE17" s="14" t="str">
        <f t="shared" si="6"/>
        <v/>
      </c>
      <c r="AF17" s="14" t="str">
        <f t="shared" si="6"/>
        <v/>
      </c>
      <c r="AG17" s="14" t="str">
        <f t="shared" si="6"/>
        <v/>
      </c>
      <c r="AH17" s="14" t="str">
        <f t="shared" si="6"/>
        <v/>
      </c>
      <c r="AI17" s="14" t="str">
        <f t="shared" si="6"/>
        <v/>
      </c>
      <c r="AJ17" s="14" t="str">
        <f t="shared" si="6"/>
        <v/>
      </c>
      <c r="AK17" s="14" t="str">
        <f t="shared" si="6"/>
        <v/>
      </c>
      <c r="AL17" s="14" t="str">
        <f t="shared" ref="AL17:AQ26" si="7">IF(AND(AL$6&gt;=$D17,AL$6&lt;=$E17),1,"")</f>
        <v/>
      </c>
      <c r="AM17" s="14" t="str">
        <f t="shared" si="7"/>
        <v/>
      </c>
      <c r="AN17" s="14" t="str">
        <f t="shared" si="7"/>
        <v/>
      </c>
      <c r="AO17" s="14" t="str">
        <f t="shared" si="7"/>
        <v/>
      </c>
      <c r="AP17" s="14" t="str">
        <f t="shared" si="7"/>
        <v/>
      </c>
      <c r="AQ17" s="14" t="str">
        <f t="shared" si="7"/>
        <v/>
      </c>
    </row>
    <row r="18" spans="1:43" ht="25.05" customHeight="1">
      <c r="A18" s="2" t="s">
        <v>127</v>
      </c>
      <c r="B18" s="2" t="s">
        <v>128</v>
      </c>
      <c r="C18" s="2" t="s">
        <v>130</v>
      </c>
      <c r="D18" s="2">
        <f>'02_CONG_VIEC'!H18</f>
        <v>11</v>
      </c>
      <c r="E18" s="2">
        <f>'02_CONG_VIEC'!I18</f>
        <v>11</v>
      </c>
      <c r="F18" s="2">
        <f>'02_CONG_VIEC'!E18</f>
        <v>1</v>
      </c>
      <c r="G18" s="2" t="s">
        <v>129</v>
      </c>
      <c r="H18" s="14" t="str">
        <f t="shared" si="4"/>
        <v/>
      </c>
      <c r="I18" s="14" t="str">
        <f t="shared" si="4"/>
        <v/>
      </c>
      <c r="J18" s="14" t="str">
        <f t="shared" si="4"/>
        <v/>
      </c>
      <c r="K18" s="14" t="str">
        <f t="shared" si="4"/>
        <v/>
      </c>
      <c r="L18" s="14" t="str">
        <f t="shared" si="4"/>
        <v/>
      </c>
      <c r="M18" s="14" t="str">
        <f t="shared" si="4"/>
        <v/>
      </c>
      <c r="N18" s="14" t="str">
        <f t="shared" si="4"/>
        <v/>
      </c>
      <c r="O18" s="14" t="str">
        <f t="shared" si="4"/>
        <v/>
      </c>
      <c r="P18" s="14" t="str">
        <f t="shared" si="4"/>
        <v/>
      </c>
      <c r="Q18" s="14" t="str">
        <f t="shared" si="4"/>
        <v/>
      </c>
      <c r="R18" s="14" t="str">
        <f t="shared" si="5"/>
        <v/>
      </c>
      <c r="S18" s="14" t="str">
        <f t="shared" si="5"/>
        <v/>
      </c>
      <c r="T18" s="14" t="str">
        <f t="shared" si="5"/>
        <v/>
      </c>
      <c r="U18" s="14" t="str">
        <f t="shared" si="5"/>
        <v/>
      </c>
      <c r="V18" s="14" t="str">
        <f t="shared" si="5"/>
        <v/>
      </c>
      <c r="W18" s="14" t="str">
        <f t="shared" si="5"/>
        <v/>
      </c>
      <c r="X18" s="14" t="str">
        <f t="shared" si="5"/>
        <v/>
      </c>
      <c r="Y18" s="14" t="str">
        <f t="shared" si="5"/>
        <v/>
      </c>
      <c r="Z18" s="14" t="str">
        <f t="shared" si="5"/>
        <v/>
      </c>
      <c r="AA18" s="14" t="str">
        <f t="shared" si="5"/>
        <v/>
      </c>
      <c r="AB18" s="14" t="str">
        <f t="shared" si="6"/>
        <v/>
      </c>
      <c r="AC18" s="14" t="str">
        <f t="shared" si="6"/>
        <v/>
      </c>
      <c r="AD18" s="14" t="str">
        <f t="shared" si="6"/>
        <v/>
      </c>
      <c r="AE18" s="14" t="str">
        <f t="shared" si="6"/>
        <v/>
      </c>
      <c r="AF18" s="14" t="str">
        <f t="shared" si="6"/>
        <v/>
      </c>
      <c r="AG18" s="14" t="str">
        <f t="shared" si="6"/>
        <v/>
      </c>
      <c r="AH18" s="14" t="str">
        <f t="shared" si="6"/>
        <v/>
      </c>
      <c r="AI18" s="14" t="str">
        <f t="shared" si="6"/>
        <v/>
      </c>
      <c r="AJ18" s="14" t="str">
        <f t="shared" si="6"/>
        <v/>
      </c>
      <c r="AK18" s="14" t="str">
        <f t="shared" si="6"/>
        <v/>
      </c>
      <c r="AL18" s="14" t="str">
        <f t="shared" si="7"/>
        <v/>
      </c>
      <c r="AM18" s="14" t="str">
        <f t="shared" si="7"/>
        <v/>
      </c>
      <c r="AN18" s="14" t="str">
        <f t="shared" si="7"/>
        <v/>
      </c>
      <c r="AO18" s="14" t="str">
        <f t="shared" si="7"/>
        <v/>
      </c>
      <c r="AP18" s="14" t="str">
        <f t="shared" si="7"/>
        <v/>
      </c>
      <c r="AQ18" s="14" t="str">
        <f t="shared" si="7"/>
        <v/>
      </c>
    </row>
    <row r="19" spans="1:43" ht="25.05" customHeight="1">
      <c r="A19" t="s">
        <v>133</v>
      </c>
      <c r="B19" t="s">
        <v>134</v>
      </c>
      <c r="C19" t="s">
        <v>136</v>
      </c>
      <c r="D19">
        <f>'02_CONG_VIEC'!H19</f>
        <v>11</v>
      </c>
      <c r="E19">
        <f>'02_CONG_VIEC'!I19</f>
        <v>12</v>
      </c>
      <c r="F19">
        <f>'02_CONG_VIEC'!E19</f>
        <v>2</v>
      </c>
      <c r="G19" t="s">
        <v>135</v>
      </c>
      <c r="H19" s="14" t="str">
        <f t="shared" si="4"/>
        <v/>
      </c>
      <c r="I19" s="14" t="str">
        <f t="shared" si="4"/>
        <v/>
      </c>
      <c r="J19" s="14" t="str">
        <f t="shared" si="4"/>
        <v/>
      </c>
      <c r="K19" s="14" t="str">
        <f t="shared" si="4"/>
        <v/>
      </c>
      <c r="L19" s="14" t="str">
        <f t="shared" si="4"/>
        <v/>
      </c>
      <c r="M19" s="14" t="str">
        <f t="shared" si="4"/>
        <v/>
      </c>
      <c r="N19" s="14" t="str">
        <f t="shared" si="4"/>
        <v/>
      </c>
      <c r="O19" s="14" t="str">
        <f t="shared" si="4"/>
        <v/>
      </c>
      <c r="P19" s="14" t="str">
        <f t="shared" si="4"/>
        <v/>
      </c>
      <c r="Q19" s="14" t="str">
        <f t="shared" si="4"/>
        <v/>
      </c>
      <c r="R19" s="14" t="str">
        <f t="shared" si="5"/>
        <v/>
      </c>
      <c r="S19" s="14" t="str">
        <f t="shared" si="5"/>
        <v/>
      </c>
      <c r="T19" s="14" t="str">
        <f t="shared" si="5"/>
        <v/>
      </c>
      <c r="U19" s="14" t="str">
        <f t="shared" si="5"/>
        <v/>
      </c>
      <c r="V19" s="14" t="str">
        <f t="shared" si="5"/>
        <v/>
      </c>
      <c r="W19" s="14" t="str">
        <f t="shared" si="5"/>
        <v/>
      </c>
      <c r="X19" s="14" t="str">
        <f t="shared" si="5"/>
        <v/>
      </c>
      <c r="Y19" s="14" t="str">
        <f t="shared" si="5"/>
        <v/>
      </c>
      <c r="Z19" s="14" t="str">
        <f t="shared" si="5"/>
        <v/>
      </c>
      <c r="AA19" s="14" t="str">
        <f t="shared" si="5"/>
        <v/>
      </c>
      <c r="AB19" s="14" t="str">
        <f t="shared" si="6"/>
        <v/>
      </c>
      <c r="AC19" s="14" t="str">
        <f t="shared" si="6"/>
        <v/>
      </c>
      <c r="AD19" s="14" t="str">
        <f t="shared" si="6"/>
        <v/>
      </c>
      <c r="AE19" s="14" t="str">
        <f t="shared" si="6"/>
        <v/>
      </c>
      <c r="AF19" s="14" t="str">
        <f t="shared" si="6"/>
        <v/>
      </c>
      <c r="AG19" s="14" t="str">
        <f t="shared" si="6"/>
        <v/>
      </c>
      <c r="AH19" s="14" t="str">
        <f t="shared" si="6"/>
        <v/>
      </c>
      <c r="AI19" s="14" t="str">
        <f t="shared" si="6"/>
        <v/>
      </c>
      <c r="AJ19" s="14" t="str">
        <f t="shared" si="6"/>
        <v/>
      </c>
      <c r="AK19" s="14" t="str">
        <f t="shared" si="6"/>
        <v/>
      </c>
      <c r="AL19" s="14" t="str">
        <f t="shared" si="7"/>
        <v/>
      </c>
      <c r="AM19" s="14" t="str">
        <f t="shared" si="7"/>
        <v/>
      </c>
      <c r="AN19" s="14" t="str">
        <f t="shared" si="7"/>
        <v/>
      </c>
      <c r="AO19" s="14" t="str">
        <f t="shared" si="7"/>
        <v/>
      </c>
      <c r="AP19" s="14" t="str">
        <f t="shared" si="7"/>
        <v/>
      </c>
      <c r="AQ19" s="14" t="str">
        <f t="shared" si="7"/>
        <v/>
      </c>
    </row>
    <row r="20" spans="1:43" ht="25.05" customHeight="1">
      <c r="A20" s="2" t="s">
        <v>139</v>
      </c>
      <c r="B20" s="2" t="s">
        <v>140</v>
      </c>
      <c r="C20" s="2" t="s">
        <v>136</v>
      </c>
      <c r="D20" s="2">
        <f>'02_CONG_VIEC'!H20</f>
        <v>13</v>
      </c>
      <c r="E20" s="2">
        <f>'02_CONG_VIEC'!I20</f>
        <v>13</v>
      </c>
      <c r="F20" s="2">
        <f>'02_CONG_VIEC'!E20</f>
        <v>1</v>
      </c>
      <c r="G20" s="2" t="s">
        <v>135</v>
      </c>
      <c r="H20" s="14" t="str">
        <f t="shared" si="4"/>
        <v/>
      </c>
      <c r="I20" s="14" t="str">
        <f t="shared" si="4"/>
        <v/>
      </c>
      <c r="J20" s="14" t="str">
        <f t="shared" si="4"/>
        <v/>
      </c>
      <c r="K20" s="14" t="str">
        <f t="shared" si="4"/>
        <v/>
      </c>
      <c r="L20" s="14" t="str">
        <f t="shared" si="4"/>
        <v/>
      </c>
      <c r="M20" s="14" t="str">
        <f t="shared" si="4"/>
        <v/>
      </c>
      <c r="N20" s="14" t="str">
        <f t="shared" si="4"/>
        <v/>
      </c>
      <c r="O20" s="14" t="str">
        <f t="shared" si="4"/>
        <v/>
      </c>
      <c r="P20" s="14" t="str">
        <f t="shared" si="4"/>
        <v/>
      </c>
      <c r="Q20" s="14" t="str">
        <f t="shared" si="4"/>
        <v/>
      </c>
      <c r="R20" s="14" t="str">
        <f t="shared" si="5"/>
        <v/>
      </c>
      <c r="S20" s="14" t="str">
        <f t="shared" si="5"/>
        <v/>
      </c>
      <c r="T20" s="14" t="str">
        <f t="shared" si="5"/>
        <v/>
      </c>
      <c r="U20" s="14" t="str">
        <f t="shared" si="5"/>
        <v/>
      </c>
      <c r="V20" s="14" t="str">
        <f t="shared" si="5"/>
        <v/>
      </c>
      <c r="W20" s="14" t="str">
        <f t="shared" si="5"/>
        <v/>
      </c>
      <c r="X20" s="14" t="str">
        <f t="shared" si="5"/>
        <v/>
      </c>
      <c r="Y20" s="14" t="str">
        <f t="shared" si="5"/>
        <v/>
      </c>
      <c r="Z20" s="14" t="str">
        <f t="shared" si="5"/>
        <v/>
      </c>
      <c r="AA20" s="14" t="str">
        <f t="shared" si="5"/>
        <v/>
      </c>
      <c r="AB20" s="14" t="str">
        <f t="shared" si="6"/>
        <v/>
      </c>
      <c r="AC20" s="14" t="str">
        <f t="shared" si="6"/>
        <v/>
      </c>
      <c r="AD20" s="14" t="str">
        <f t="shared" si="6"/>
        <v/>
      </c>
      <c r="AE20" s="14" t="str">
        <f t="shared" si="6"/>
        <v/>
      </c>
      <c r="AF20" s="14" t="str">
        <f t="shared" si="6"/>
        <v/>
      </c>
      <c r="AG20" s="14" t="str">
        <f t="shared" si="6"/>
        <v/>
      </c>
      <c r="AH20" s="14" t="str">
        <f t="shared" si="6"/>
        <v/>
      </c>
      <c r="AI20" s="14" t="str">
        <f t="shared" si="6"/>
        <v/>
      </c>
      <c r="AJ20" s="14" t="str">
        <f t="shared" si="6"/>
        <v/>
      </c>
      <c r="AK20" s="14" t="str">
        <f t="shared" si="6"/>
        <v/>
      </c>
      <c r="AL20" s="14" t="str">
        <f t="shared" si="7"/>
        <v/>
      </c>
      <c r="AM20" s="14" t="str">
        <f t="shared" si="7"/>
        <v/>
      </c>
      <c r="AN20" s="14" t="str">
        <f t="shared" si="7"/>
        <v/>
      </c>
      <c r="AO20" s="14" t="str">
        <f t="shared" si="7"/>
        <v/>
      </c>
      <c r="AP20" s="14" t="str">
        <f t="shared" si="7"/>
        <v/>
      </c>
      <c r="AQ20" s="14" t="str">
        <f t="shared" si="7"/>
        <v/>
      </c>
    </row>
    <row r="21" spans="1:43" ht="25.05" customHeight="1">
      <c r="A21" t="s">
        <v>143</v>
      </c>
      <c r="B21" t="s">
        <v>144</v>
      </c>
      <c r="C21" t="s">
        <v>136</v>
      </c>
      <c r="D21">
        <f>'02_CONG_VIEC'!H21</f>
        <v>14</v>
      </c>
      <c r="E21">
        <f>'02_CONG_VIEC'!I21</f>
        <v>15</v>
      </c>
      <c r="F21">
        <f>'02_CONG_VIEC'!E21</f>
        <v>2</v>
      </c>
      <c r="G21" t="s">
        <v>135</v>
      </c>
      <c r="H21" s="14" t="str">
        <f t="shared" si="4"/>
        <v/>
      </c>
      <c r="I21" s="14" t="str">
        <f t="shared" si="4"/>
        <v/>
      </c>
      <c r="J21" s="14" t="str">
        <f t="shared" si="4"/>
        <v/>
      </c>
      <c r="K21" s="14" t="str">
        <f t="shared" si="4"/>
        <v/>
      </c>
      <c r="L21" s="14" t="str">
        <f t="shared" si="4"/>
        <v/>
      </c>
      <c r="M21" s="14" t="str">
        <f t="shared" si="4"/>
        <v/>
      </c>
      <c r="N21" s="14" t="str">
        <f t="shared" si="4"/>
        <v/>
      </c>
      <c r="O21" s="14" t="str">
        <f t="shared" si="4"/>
        <v/>
      </c>
      <c r="P21" s="14" t="str">
        <f t="shared" si="4"/>
        <v/>
      </c>
      <c r="Q21" s="14" t="str">
        <f t="shared" si="4"/>
        <v/>
      </c>
      <c r="R21" s="14" t="str">
        <f t="shared" si="5"/>
        <v/>
      </c>
      <c r="S21" s="14" t="str">
        <f t="shared" si="5"/>
        <v/>
      </c>
      <c r="T21" s="14" t="str">
        <f t="shared" si="5"/>
        <v/>
      </c>
      <c r="U21" s="14" t="str">
        <f t="shared" si="5"/>
        <v/>
      </c>
      <c r="V21" s="14" t="str">
        <f t="shared" si="5"/>
        <v/>
      </c>
      <c r="W21" s="14" t="str">
        <f t="shared" si="5"/>
        <v/>
      </c>
      <c r="X21" s="14" t="str">
        <f t="shared" si="5"/>
        <v/>
      </c>
      <c r="Y21" s="14" t="str">
        <f t="shared" si="5"/>
        <v/>
      </c>
      <c r="Z21" s="14" t="str">
        <f t="shared" si="5"/>
        <v/>
      </c>
      <c r="AA21" s="14" t="str">
        <f t="shared" si="5"/>
        <v/>
      </c>
      <c r="AB21" s="14" t="str">
        <f t="shared" si="6"/>
        <v/>
      </c>
      <c r="AC21" s="14" t="str">
        <f t="shared" si="6"/>
        <v/>
      </c>
      <c r="AD21" s="14" t="str">
        <f t="shared" si="6"/>
        <v/>
      </c>
      <c r="AE21" s="14" t="str">
        <f t="shared" si="6"/>
        <v/>
      </c>
      <c r="AF21" s="14" t="str">
        <f t="shared" si="6"/>
        <v/>
      </c>
      <c r="AG21" s="14" t="str">
        <f t="shared" si="6"/>
        <v/>
      </c>
      <c r="AH21" s="14" t="str">
        <f t="shared" si="6"/>
        <v/>
      </c>
      <c r="AI21" s="14" t="str">
        <f t="shared" si="6"/>
        <v/>
      </c>
      <c r="AJ21" s="14" t="str">
        <f t="shared" si="6"/>
        <v/>
      </c>
      <c r="AK21" s="14" t="str">
        <f t="shared" si="6"/>
        <v/>
      </c>
      <c r="AL21" s="14" t="str">
        <f t="shared" si="7"/>
        <v/>
      </c>
      <c r="AM21" s="14" t="str">
        <f t="shared" si="7"/>
        <v/>
      </c>
      <c r="AN21" s="14" t="str">
        <f t="shared" si="7"/>
        <v/>
      </c>
      <c r="AO21" s="14" t="str">
        <f t="shared" si="7"/>
        <v/>
      </c>
      <c r="AP21" s="14" t="str">
        <f t="shared" si="7"/>
        <v/>
      </c>
      <c r="AQ21" s="14" t="str">
        <f t="shared" si="7"/>
        <v/>
      </c>
    </row>
    <row r="22" spans="1:43" ht="25.05" customHeight="1">
      <c r="A22" s="2" t="s">
        <v>147</v>
      </c>
      <c r="B22" s="2" t="s">
        <v>148</v>
      </c>
      <c r="C22" s="2" t="s">
        <v>150</v>
      </c>
      <c r="D22" s="2">
        <f>'02_CONG_VIEC'!H22</f>
        <v>16</v>
      </c>
      <c r="E22" s="2">
        <f>'02_CONG_VIEC'!I22</f>
        <v>17</v>
      </c>
      <c r="F22" s="2">
        <f>'02_CONG_VIEC'!E22</f>
        <v>2</v>
      </c>
      <c r="G22" s="2" t="s">
        <v>149</v>
      </c>
      <c r="H22" s="14" t="str">
        <f t="shared" si="4"/>
        <v/>
      </c>
      <c r="I22" s="14" t="str">
        <f t="shared" si="4"/>
        <v/>
      </c>
      <c r="J22" s="14" t="str">
        <f t="shared" si="4"/>
        <v/>
      </c>
      <c r="K22" s="14" t="str">
        <f t="shared" si="4"/>
        <v/>
      </c>
      <c r="L22" s="14" t="str">
        <f t="shared" si="4"/>
        <v/>
      </c>
      <c r="M22" s="14" t="str">
        <f t="shared" si="4"/>
        <v/>
      </c>
      <c r="N22" s="14" t="str">
        <f t="shared" si="4"/>
        <v/>
      </c>
      <c r="O22" s="14" t="str">
        <f t="shared" si="4"/>
        <v/>
      </c>
      <c r="P22" s="14" t="str">
        <f t="shared" si="4"/>
        <v/>
      </c>
      <c r="Q22" s="14" t="str">
        <f t="shared" si="4"/>
        <v/>
      </c>
      <c r="R22" s="14" t="str">
        <f t="shared" si="5"/>
        <v/>
      </c>
      <c r="S22" s="14" t="str">
        <f t="shared" si="5"/>
        <v/>
      </c>
      <c r="T22" s="14" t="str">
        <f t="shared" si="5"/>
        <v/>
      </c>
      <c r="U22" s="14" t="str">
        <f t="shared" si="5"/>
        <v/>
      </c>
      <c r="V22" s="14" t="str">
        <f t="shared" si="5"/>
        <v/>
      </c>
      <c r="W22" s="14" t="str">
        <f t="shared" si="5"/>
        <v/>
      </c>
      <c r="X22" s="14" t="str">
        <f t="shared" si="5"/>
        <v/>
      </c>
      <c r="Y22" s="14" t="str">
        <f t="shared" si="5"/>
        <v/>
      </c>
      <c r="Z22" s="14" t="str">
        <f t="shared" si="5"/>
        <v/>
      </c>
      <c r="AA22" s="14" t="str">
        <f t="shared" si="5"/>
        <v/>
      </c>
      <c r="AB22" s="14" t="str">
        <f t="shared" si="6"/>
        <v/>
      </c>
      <c r="AC22" s="14" t="str">
        <f t="shared" si="6"/>
        <v/>
      </c>
      <c r="AD22" s="14" t="str">
        <f t="shared" si="6"/>
        <v/>
      </c>
      <c r="AE22" s="14" t="str">
        <f t="shared" si="6"/>
        <v/>
      </c>
      <c r="AF22" s="14" t="str">
        <f t="shared" si="6"/>
        <v/>
      </c>
      <c r="AG22" s="14" t="str">
        <f t="shared" si="6"/>
        <v/>
      </c>
      <c r="AH22" s="14" t="str">
        <f t="shared" si="6"/>
        <v/>
      </c>
      <c r="AI22" s="14" t="str">
        <f t="shared" si="6"/>
        <v/>
      </c>
      <c r="AJ22" s="14" t="str">
        <f t="shared" si="6"/>
        <v/>
      </c>
      <c r="AK22" s="14" t="str">
        <f t="shared" si="6"/>
        <v/>
      </c>
      <c r="AL22" s="14" t="str">
        <f t="shared" si="7"/>
        <v/>
      </c>
      <c r="AM22" s="14" t="str">
        <f t="shared" si="7"/>
        <v/>
      </c>
      <c r="AN22" s="14" t="str">
        <f t="shared" si="7"/>
        <v/>
      </c>
      <c r="AO22" s="14" t="str">
        <f t="shared" si="7"/>
        <v/>
      </c>
      <c r="AP22" s="14" t="str">
        <f t="shared" si="7"/>
        <v/>
      </c>
      <c r="AQ22" s="14" t="str">
        <f t="shared" si="7"/>
        <v/>
      </c>
    </row>
    <row r="23" spans="1:43" ht="25.05" customHeight="1">
      <c r="A23" t="s">
        <v>153</v>
      </c>
      <c r="B23" t="s">
        <v>154</v>
      </c>
      <c r="C23" t="s">
        <v>155</v>
      </c>
      <c r="D23">
        <f>'02_CONG_VIEC'!H23</f>
        <v>18</v>
      </c>
      <c r="E23">
        <f>'02_CONG_VIEC'!I23</f>
        <v>19</v>
      </c>
      <c r="F23">
        <f>'02_CONG_VIEC'!E23</f>
        <v>2</v>
      </c>
      <c r="G23" t="s">
        <v>129</v>
      </c>
      <c r="H23" s="14" t="str">
        <f t="shared" si="4"/>
        <v/>
      </c>
      <c r="I23" s="14" t="str">
        <f t="shared" si="4"/>
        <v/>
      </c>
      <c r="J23" s="14" t="str">
        <f t="shared" si="4"/>
        <v/>
      </c>
      <c r="K23" s="14" t="str">
        <f t="shared" si="4"/>
        <v/>
      </c>
      <c r="L23" s="14" t="str">
        <f t="shared" si="4"/>
        <v/>
      </c>
      <c r="M23" s="14" t="str">
        <f t="shared" si="4"/>
        <v/>
      </c>
      <c r="N23" s="14" t="str">
        <f t="shared" si="4"/>
        <v/>
      </c>
      <c r="O23" s="14" t="str">
        <f t="shared" si="4"/>
        <v/>
      </c>
      <c r="P23" s="14" t="str">
        <f t="shared" si="4"/>
        <v/>
      </c>
      <c r="Q23" s="14" t="str">
        <f t="shared" si="4"/>
        <v/>
      </c>
      <c r="R23" s="14" t="str">
        <f t="shared" si="5"/>
        <v/>
      </c>
      <c r="S23" s="14" t="str">
        <f t="shared" si="5"/>
        <v/>
      </c>
      <c r="T23" s="14" t="str">
        <f t="shared" si="5"/>
        <v/>
      </c>
      <c r="U23" s="14" t="str">
        <f t="shared" si="5"/>
        <v/>
      </c>
      <c r="V23" s="14" t="str">
        <f t="shared" si="5"/>
        <v/>
      </c>
      <c r="W23" s="14" t="str">
        <f t="shared" si="5"/>
        <v/>
      </c>
      <c r="X23" s="14" t="str">
        <f t="shared" si="5"/>
        <v/>
      </c>
      <c r="Y23" s="14" t="str">
        <f t="shared" si="5"/>
        <v/>
      </c>
      <c r="Z23" s="14" t="str">
        <f t="shared" si="5"/>
        <v/>
      </c>
      <c r="AA23" s="14" t="str">
        <f t="shared" si="5"/>
        <v/>
      </c>
      <c r="AB23" s="14" t="str">
        <f t="shared" si="6"/>
        <v/>
      </c>
      <c r="AC23" s="14" t="str">
        <f t="shared" si="6"/>
        <v/>
      </c>
      <c r="AD23" s="14" t="str">
        <f t="shared" si="6"/>
        <v/>
      </c>
      <c r="AE23" s="14" t="str">
        <f t="shared" si="6"/>
        <v/>
      </c>
      <c r="AF23" s="14" t="str">
        <f t="shared" si="6"/>
        <v/>
      </c>
      <c r="AG23" s="14" t="str">
        <f t="shared" si="6"/>
        <v/>
      </c>
      <c r="AH23" s="14" t="str">
        <f t="shared" si="6"/>
        <v/>
      </c>
      <c r="AI23" s="14" t="str">
        <f t="shared" si="6"/>
        <v/>
      </c>
      <c r="AJ23" s="14" t="str">
        <f t="shared" si="6"/>
        <v/>
      </c>
      <c r="AK23" s="14" t="str">
        <f t="shared" si="6"/>
        <v/>
      </c>
      <c r="AL23" s="14" t="str">
        <f t="shared" si="7"/>
        <v/>
      </c>
      <c r="AM23" s="14" t="str">
        <f t="shared" si="7"/>
        <v/>
      </c>
      <c r="AN23" s="14" t="str">
        <f t="shared" si="7"/>
        <v/>
      </c>
      <c r="AO23" s="14" t="str">
        <f t="shared" si="7"/>
        <v/>
      </c>
      <c r="AP23" s="14" t="str">
        <f t="shared" si="7"/>
        <v/>
      </c>
      <c r="AQ23" s="14" t="str">
        <f t="shared" si="7"/>
        <v/>
      </c>
    </row>
    <row r="24" spans="1:43" ht="25.05" customHeight="1">
      <c r="A24" s="2" t="s">
        <v>158</v>
      </c>
      <c r="B24" s="2" t="s">
        <v>159</v>
      </c>
      <c r="C24" s="2" t="s">
        <v>160</v>
      </c>
      <c r="D24" s="2">
        <f>'02_CONG_VIEC'!H24</f>
        <v>20</v>
      </c>
      <c r="E24" s="2">
        <f>'02_CONG_VIEC'!I24</f>
        <v>21</v>
      </c>
      <c r="F24" s="2">
        <f>'02_CONG_VIEC'!E24</f>
        <v>2</v>
      </c>
      <c r="G24" s="2" t="s">
        <v>129</v>
      </c>
      <c r="H24" s="14" t="str">
        <f t="shared" si="4"/>
        <v/>
      </c>
      <c r="I24" s="14" t="str">
        <f t="shared" si="4"/>
        <v/>
      </c>
      <c r="J24" s="14" t="str">
        <f t="shared" si="4"/>
        <v/>
      </c>
      <c r="K24" s="14" t="str">
        <f t="shared" si="4"/>
        <v/>
      </c>
      <c r="L24" s="14" t="str">
        <f t="shared" si="4"/>
        <v/>
      </c>
      <c r="M24" s="14" t="str">
        <f t="shared" si="4"/>
        <v/>
      </c>
      <c r="N24" s="14" t="str">
        <f t="shared" si="4"/>
        <v/>
      </c>
      <c r="O24" s="14" t="str">
        <f t="shared" si="4"/>
        <v/>
      </c>
      <c r="P24" s="14" t="str">
        <f t="shared" si="4"/>
        <v/>
      </c>
      <c r="Q24" s="14" t="str">
        <f t="shared" si="4"/>
        <v/>
      </c>
      <c r="R24" s="14" t="str">
        <f t="shared" si="5"/>
        <v/>
      </c>
      <c r="S24" s="14" t="str">
        <f t="shared" si="5"/>
        <v/>
      </c>
      <c r="T24" s="14" t="str">
        <f t="shared" si="5"/>
        <v/>
      </c>
      <c r="U24" s="14" t="str">
        <f t="shared" si="5"/>
        <v/>
      </c>
      <c r="V24" s="14" t="str">
        <f t="shared" si="5"/>
        <v/>
      </c>
      <c r="W24" s="14" t="str">
        <f t="shared" si="5"/>
        <v/>
      </c>
      <c r="X24" s="14" t="str">
        <f t="shared" si="5"/>
        <v/>
      </c>
      <c r="Y24" s="14" t="str">
        <f t="shared" si="5"/>
        <v/>
      </c>
      <c r="Z24" s="14" t="str">
        <f t="shared" si="5"/>
        <v/>
      </c>
      <c r="AA24" s="14" t="str">
        <f t="shared" si="5"/>
        <v/>
      </c>
      <c r="AB24" s="14" t="str">
        <f t="shared" si="6"/>
        <v/>
      </c>
      <c r="AC24" s="14" t="str">
        <f t="shared" si="6"/>
        <v/>
      </c>
      <c r="AD24" s="14" t="str">
        <f t="shared" si="6"/>
        <v/>
      </c>
      <c r="AE24" s="14" t="str">
        <f t="shared" si="6"/>
        <v/>
      </c>
      <c r="AF24" s="14" t="str">
        <f t="shared" si="6"/>
        <v/>
      </c>
      <c r="AG24" s="14" t="str">
        <f t="shared" si="6"/>
        <v/>
      </c>
      <c r="AH24" s="14" t="str">
        <f t="shared" si="6"/>
        <v/>
      </c>
      <c r="AI24" s="14" t="str">
        <f t="shared" si="6"/>
        <v/>
      </c>
      <c r="AJ24" s="14" t="str">
        <f t="shared" si="6"/>
        <v/>
      </c>
      <c r="AK24" s="14" t="str">
        <f t="shared" si="6"/>
        <v/>
      </c>
      <c r="AL24" s="14" t="str">
        <f t="shared" si="7"/>
        <v/>
      </c>
      <c r="AM24" s="14" t="str">
        <f t="shared" si="7"/>
        <v/>
      </c>
      <c r="AN24" s="14" t="str">
        <f t="shared" si="7"/>
        <v/>
      </c>
      <c r="AO24" s="14" t="str">
        <f t="shared" si="7"/>
        <v/>
      </c>
      <c r="AP24" s="14" t="str">
        <f t="shared" si="7"/>
        <v/>
      </c>
      <c r="AQ24" s="14" t="str">
        <f t="shared" si="7"/>
        <v/>
      </c>
    </row>
    <row r="25" spans="1:43" ht="25.05" customHeight="1">
      <c r="A25" t="s">
        <v>163</v>
      </c>
      <c r="B25" t="s">
        <v>164</v>
      </c>
      <c r="C25" t="s">
        <v>155</v>
      </c>
      <c r="D25">
        <f>'02_CONG_VIEC'!H25</f>
        <v>22</v>
      </c>
      <c r="E25">
        <f>'02_CONG_VIEC'!I25</f>
        <v>22</v>
      </c>
      <c r="F25">
        <f>'02_CONG_VIEC'!E25</f>
        <v>1</v>
      </c>
      <c r="G25" t="s">
        <v>129</v>
      </c>
      <c r="H25" s="14" t="str">
        <f t="shared" si="4"/>
        <v/>
      </c>
      <c r="I25" s="14" t="str">
        <f t="shared" si="4"/>
        <v/>
      </c>
      <c r="J25" s="14" t="str">
        <f t="shared" si="4"/>
        <v/>
      </c>
      <c r="K25" s="14" t="str">
        <f t="shared" si="4"/>
        <v/>
      </c>
      <c r="L25" s="14" t="str">
        <f t="shared" si="4"/>
        <v/>
      </c>
      <c r="M25" s="14" t="str">
        <f t="shared" si="4"/>
        <v/>
      </c>
      <c r="N25" s="14" t="str">
        <f t="shared" si="4"/>
        <v/>
      </c>
      <c r="O25" s="14" t="str">
        <f t="shared" si="4"/>
        <v/>
      </c>
      <c r="P25" s="14" t="str">
        <f t="shared" si="4"/>
        <v/>
      </c>
      <c r="Q25" s="14" t="str">
        <f t="shared" si="4"/>
        <v/>
      </c>
      <c r="R25" s="14" t="str">
        <f t="shared" si="5"/>
        <v/>
      </c>
      <c r="S25" s="14" t="str">
        <f t="shared" si="5"/>
        <v/>
      </c>
      <c r="T25" s="14" t="str">
        <f t="shared" si="5"/>
        <v/>
      </c>
      <c r="U25" s="14" t="str">
        <f t="shared" si="5"/>
        <v/>
      </c>
      <c r="V25" s="14" t="str">
        <f t="shared" si="5"/>
        <v/>
      </c>
      <c r="W25" s="14" t="str">
        <f t="shared" si="5"/>
        <v/>
      </c>
      <c r="X25" s="14" t="str">
        <f t="shared" si="5"/>
        <v/>
      </c>
      <c r="Y25" s="14" t="str">
        <f t="shared" si="5"/>
        <v/>
      </c>
      <c r="Z25" s="14" t="str">
        <f t="shared" si="5"/>
        <v/>
      </c>
      <c r="AA25" s="14" t="str">
        <f t="shared" si="5"/>
        <v/>
      </c>
      <c r="AB25" s="14" t="str">
        <f t="shared" si="6"/>
        <v/>
      </c>
      <c r="AC25" s="14" t="str">
        <f t="shared" si="6"/>
        <v/>
      </c>
      <c r="AD25" s="14" t="str">
        <f t="shared" si="6"/>
        <v/>
      </c>
      <c r="AE25" s="14" t="str">
        <f t="shared" si="6"/>
        <v/>
      </c>
      <c r="AF25" s="14" t="str">
        <f t="shared" si="6"/>
        <v/>
      </c>
      <c r="AG25" s="14" t="str">
        <f t="shared" si="6"/>
        <v/>
      </c>
      <c r="AH25" s="14" t="str">
        <f t="shared" si="6"/>
        <v/>
      </c>
      <c r="AI25" s="14" t="str">
        <f t="shared" si="6"/>
        <v/>
      </c>
      <c r="AJ25" s="14" t="str">
        <f t="shared" si="6"/>
        <v/>
      </c>
      <c r="AK25" s="14" t="str">
        <f t="shared" si="6"/>
        <v/>
      </c>
      <c r="AL25" s="14" t="str">
        <f t="shared" si="7"/>
        <v/>
      </c>
      <c r="AM25" s="14" t="str">
        <f t="shared" si="7"/>
        <v/>
      </c>
      <c r="AN25" s="14" t="str">
        <f t="shared" si="7"/>
        <v/>
      </c>
      <c r="AO25" s="14" t="str">
        <f t="shared" si="7"/>
        <v/>
      </c>
      <c r="AP25" s="14" t="str">
        <f t="shared" si="7"/>
        <v/>
      </c>
      <c r="AQ25" s="14" t="str">
        <f t="shared" si="7"/>
        <v/>
      </c>
    </row>
    <row r="26" spans="1:43" ht="25.05" customHeight="1">
      <c r="A26" s="2" t="s">
        <v>167</v>
      </c>
      <c r="B26" s="2" t="s">
        <v>168</v>
      </c>
      <c r="C26" s="2" t="s">
        <v>170</v>
      </c>
      <c r="D26" s="2">
        <f>'02_CONG_VIEC'!H26</f>
        <v>23</v>
      </c>
      <c r="E26" s="2">
        <f>'02_CONG_VIEC'!I26</f>
        <v>24</v>
      </c>
      <c r="F26" s="2">
        <f>'02_CONG_VIEC'!E26</f>
        <v>2</v>
      </c>
      <c r="G26" s="2" t="s">
        <v>169</v>
      </c>
      <c r="H26" s="14" t="str">
        <f t="shared" si="4"/>
        <v/>
      </c>
      <c r="I26" s="14" t="str">
        <f t="shared" si="4"/>
        <v/>
      </c>
      <c r="J26" s="14" t="str">
        <f t="shared" si="4"/>
        <v/>
      </c>
      <c r="K26" s="14" t="str">
        <f t="shared" si="4"/>
        <v/>
      </c>
      <c r="L26" s="14" t="str">
        <f t="shared" si="4"/>
        <v/>
      </c>
      <c r="M26" s="14" t="str">
        <f t="shared" si="4"/>
        <v/>
      </c>
      <c r="N26" s="14" t="str">
        <f t="shared" si="4"/>
        <v/>
      </c>
      <c r="O26" s="14" t="str">
        <f t="shared" si="4"/>
        <v/>
      </c>
      <c r="P26" s="14" t="str">
        <f t="shared" si="4"/>
        <v/>
      </c>
      <c r="Q26" s="14" t="str">
        <f t="shared" si="4"/>
        <v/>
      </c>
      <c r="R26" s="14" t="str">
        <f t="shared" si="5"/>
        <v/>
      </c>
      <c r="S26" s="14" t="str">
        <f t="shared" si="5"/>
        <v/>
      </c>
      <c r="T26" s="14" t="str">
        <f t="shared" si="5"/>
        <v/>
      </c>
      <c r="U26" s="14" t="str">
        <f t="shared" si="5"/>
        <v/>
      </c>
      <c r="V26" s="14" t="str">
        <f t="shared" si="5"/>
        <v/>
      </c>
      <c r="W26" s="14" t="str">
        <f t="shared" si="5"/>
        <v/>
      </c>
      <c r="X26" s="14" t="str">
        <f t="shared" si="5"/>
        <v/>
      </c>
      <c r="Y26" s="14" t="str">
        <f t="shared" si="5"/>
        <v/>
      </c>
      <c r="Z26" s="14" t="str">
        <f t="shared" si="5"/>
        <v/>
      </c>
      <c r="AA26" s="14" t="str">
        <f t="shared" si="5"/>
        <v/>
      </c>
      <c r="AB26" s="14" t="str">
        <f t="shared" si="6"/>
        <v/>
      </c>
      <c r="AC26" s="14" t="str">
        <f t="shared" si="6"/>
        <v/>
      </c>
      <c r="AD26" s="14" t="str">
        <f t="shared" si="6"/>
        <v/>
      </c>
      <c r="AE26" s="14" t="str">
        <f t="shared" si="6"/>
        <v/>
      </c>
      <c r="AF26" s="14" t="str">
        <f t="shared" si="6"/>
        <v/>
      </c>
      <c r="AG26" s="14" t="str">
        <f t="shared" si="6"/>
        <v/>
      </c>
      <c r="AH26" s="14" t="str">
        <f t="shared" si="6"/>
        <v/>
      </c>
      <c r="AI26" s="14" t="str">
        <f t="shared" si="6"/>
        <v/>
      </c>
      <c r="AJ26" s="14" t="str">
        <f t="shared" si="6"/>
        <v/>
      </c>
      <c r="AK26" s="14" t="str">
        <f t="shared" si="6"/>
        <v/>
      </c>
      <c r="AL26" s="14" t="str">
        <f t="shared" si="7"/>
        <v/>
      </c>
      <c r="AM26" s="14" t="str">
        <f t="shared" si="7"/>
        <v/>
      </c>
      <c r="AN26" s="14" t="str">
        <f t="shared" si="7"/>
        <v/>
      </c>
      <c r="AO26" s="14" t="str">
        <f t="shared" si="7"/>
        <v/>
      </c>
      <c r="AP26" s="14" t="str">
        <f t="shared" si="7"/>
        <v/>
      </c>
      <c r="AQ26" s="14" t="str">
        <f t="shared" si="7"/>
        <v/>
      </c>
    </row>
  </sheetData>
  <mergeCells count="2">
    <mergeCell ref="A1:AQ2"/>
    <mergeCell ref="A3:AQ3"/>
  </mergeCells>
  <conditionalFormatting sqref="H7:AQ26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/>
  </sheetViews>
  <sheetFormatPr defaultRowHeight="13.8"/>
  <cols>
    <col min="1" max="1" width="30" customWidth="1"/>
    <col min="2" max="2" width="15" customWidth="1"/>
    <col min="3" max="3" width="53" customWidth="1"/>
    <col min="4" max="4" width="18" customWidth="1"/>
    <col min="5" max="5" width="21" customWidth="1"/>
    <col min="6" max="6" width="63" customWidth="1"/>
    <col min="7" max="7" width="65" customWidth="1"/>
  </cols>
  <sheetData>
    <row r="1" spans="1:7" ht="20.85" customHeight="1">
      <c r="A1" s="15" t="s">
        <v>218</v>
      </c>
      <c r="B1" s="15"/>
      <c r="C1" s="15"/>
      <c r="D1" s="15"/>
      <c r="E1" s="15"/>
      <c r="F1" s="15"/>
      <c r="G1" s="15"/>
    </row>
    <row r="2" spans="1:7" ht="20.85" customHeight="1">
      <c r="A2" s="15"/>
      <c r="B2" s="15"/>
      <c r="C2" s="15"/>
      <c r="D2" s="15"/>
      <c r="E2" s="15"/>
      <c r="F2" s="15"/>
      <c r="G2" s="15"/>
    </row>
    <row r="3" spans="1:7" ht="19.2" customHeight="1">
      <c r="A3" s="16" t="s">
        <v>219</v>
      </c>
      <c r="B3" s="16"/>
      <c r="C3" s="16"/>
      <c r="D3" s="16"/>
      <c r="E3" s="16"/>
      <c r="F3" s="16"/>
      <c r="G3" s="16"/>
    </row>
    <row r="4" spans="1:7" ht="8.85" customHeight="1"/>
    <row r="5" spans="1:7" ht="30.45" customHeight="1">
      <c r="A5" s="1" t="s">
        <v>220</v>
      </c>
      <c r="B5" s="1" t="s">
        <v>221</v>
      </c>
      <c r="C5" s="1" t="s">
        <v>222</v>
      </c>
      <c r="D5" s="1" t="s">
        <v>223</v>
      </c>
      <c r="E5" s="1" t="s">
        <v>224</v>
      </c>
      <c r="F5" s="1" t="s">
        <v>225</v>
      </c>
      <c r="G5" s="1" t="s">
        <v>226</v>
      </c>
    </row>
    <row r="6" spans="1:7">
      <c r="A6" s="2" t="s">
        <v>227</v>
      </c>
      <c r="B6" s="2">
        <v>1</v>
      </c>
      <c r="C6" s="2" t="s">
        <v>228</v>
      </c>
      <c r="D6" s="2">
        <v>5</v>
      </c>
      <c r="E6" s="2" t="s">
        <v>229</v>
      </c>
      <c r="F6" s="2" t="s">
        <v>230</v>
      </c>
      <c r="G6" s="2" t="s">
        <v>231</v>
      </c>
    </row>
    <row r="7" spans="1:7">
      <c r="A7" t="s">
        <v>83</v>
      </c>
      <c r="B7">
        <v>1</v>
      </c>
      <c r="C7" t="s">
        <v>232</v>
      </c>
      <c r="D7">
        <v>7</v>
      </c>
      <c r="E7" t="s">
        <v>233</v>
      </c>
      <c r="F7" t="s">
        <v>234</v>
      </c>
      <c r="G7" t="s">
        <v>235</v>
      </c>
    </row>
    <row r="8" spans="1:7">
      <c r="A8" s="2" t="s">
        <v>236</v>
      </c>
      <c r="B8" s="2">
        <v>1</v>
      </c>
      <c r="C8" s="2" t="s">
        <v>237</v>
      </c>
      <c r="D8" s="2">
        <v>8</v>
      </c>
      <c r="E8" s="2" t="s">
        <v>238</v>
      </c>
      <c r="F8" s="2" t="s">
        <v>239</v>
      </c>
      <c r="G8" s="2" t="s">
        <v>240</v>
      </c>
    </row>
    <row r="9" spans="1:7">
      <c r="A9" t="s">
        <v>241</v>
      </c>
      <c r="B9">
        <v>1</v>
      </c>
      <c r="C9" t="s">
        <v>242</v>
      </c>
      <c r="D9">
        <v>4</v>
      </c>
      <c r="E9" t="s">
        <v>229</v>
      </c>
      <c r="F9" t="s">
        <v>243</v>
      </c>
      <c r="G9" t="s">
        <v>244</v>
      </c>
    </row>
    <row r="10" spans="1:7">
      <c r="A10" s="2" t="s">
        <v>245</v>
      </c>
      <c r="B10" s="2">
        <v>1</v>
      </c>
      <c r="C10" s="2" t="s">
        <v>246</v>
      </c>
      <c r="D10" s="2">
        <v>4</v>
      </c>
      <c r="E10" s="2" t="s">
        <v>229</v>
      </c>
      <c r="F10" s="2" t="s">
        <v>247</v>
      </c>
      <c r="G10" s="2" t="s">
        <v>248</v>
      </c>
    </row>
    <row r="11" spans="1:7">
      <c r="A11" t="s">
        <v>249</v>
      </c>
      <c r="B11">
        <v>1</v>
      </c>
      <c r="C11" t="s">
        <v>250</v>
      </c>
      <c r="D11">
        <v>6</v>
      </c>
      <c r="E11" t="s">
        <v>233</v>
      </c>
      <c r="F11" t="s">
        <v>251</v>
      </c>
      <c r="G11" t="s">
        <v>252</v>
      </c>
    </row>
    <row r="14" spans="1:7">
      <c r="A14" s="7" t="s">
        <v>253</v>
      </c>
      <c r="B14" s="7"/>
      <c r="C14" s="7"/>
      <c r="D14" s="7"/>
      <c r="E14" s="7"/>
      <c r="F14" s="7"/>
      <c r="G14" s="7"/>
    </row>
    <row r="15" spans="1:7" ht="19.95" customHeight="1">
      <c r="A15" s="19" t="s">
        <v>254</v>
      </c>
      <c r="B15" s="19"/>
      <c r="C15" s="19"/>
      <c r="D15" s="19"/>
      <c r="E15" s="19"/>
      <c r="F15" s="19"/>
      <c r="G15" s="19"/>
    </row>
    <row r="16" spans="1:7" ht="19.95" customHeight="1">
      <c r="A16" s="19"/>
      <c r="B16" s="19"/>
      <c r="C16" s="19"/>
      <c r="D16" s="19"/>
      <c r="E16" s="19"/>
      <c r="F16" s="19"/>
      <c r="G16" s="19"/>
    </row>
  </sheetData>
  <mergeCells count="3">
    <mergeCell ref="A1:G2"/>
    <mergeCell ref="A3:G3"/>
    <mergeCell ref="A15:G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/>
  </sheetViews>
  <sheetFormatPr defaultRowHeight="13.8"/>
  <cols>
    <col min="1" max="1" width="9" customWidth="1"/>
    <col min="2" max="2" width="46" customWidth="1"/>
    <col min="3" max="3" width="24" customWidth="1"/>
    <col min="4" max="4" width="73" customWidth="1"/>
    <col min="5" max="5" width="28" customWidth="1"/>
    <col min="6" max="6" width="55" customWidth="1"/>
    <col min="7" max="7" width="13" customWidth="1"/>
    <col min="8" max="8" width="17" customWidth="1"/>
  </cols>
  <sheetData>
    <row r="1" spans="1:8" ht="20.85" customHeight="1">
      <c r="A1" s="15" t="s">
        <v>255</v>
      </c>
      <c r="B1" s="15"/>
      <c r="C1" s="15"/>
      <c r="D1" s="15"/>
      <c r="E1" s="15"/>
      <c r="F1" s="15"/>
      <c r="G1" s="15"/>
      <c r="H1" s="15"/>
    </row>
    <row r="2" spans="1:8" ht="20.85" customHeight="1">
      <c r="A2" s="15"/>
      <c r="B2" s="15"/>
      <c r="C2" s="15"/>
      <c r="D2" s="15"/>
      <c r="E2" s="15"/>
      <c r="F2" s="15"/>
      <c r="G2" s="15"/>
      <c r="H2" s="15"/>
    </row>
    <row r="3" spans="1:8" ht="19.2" customHeight="1">
      <c r="A3" s="16" t="s">
        <v>256</v>
      </c>
      <c r="B3" s="16"/>
      <c r="C3" s="16"/>
      <c r="D3" s="16"/>
      <c r="E3" s="16"/>
      <c r="F3" s="16"/>
      <c r="G3" s="16"/>
      <c r="H3" s="16"/>
    </row>
    <row r="4" spans="1:8" ht="8.85" customHeight="1"/>
    <row r="5" spans="1:8" ht="30.45" customHeight="1">
      <c r="A5" s="1" t="s">
        <v>257</v>
      </c>
      <c r="B5" s="1" t="s">
        <v>258</v>
      </c>
      <c r="C5" s="1" t="s">
        <v>259</v>
      </c>
      <c r="D5" s="1" t="s">
        <v>260</v>
      </c>
      <c r="E5" s="1" t="s">
        <v>261</v>
      </c>
      <c r="F5" s="1" t="s">
        <v>262</v>
      </c>
      <c r="G5" s="1" t="s">
        <v>263</v>
      </c>
      <c r="H5" s="1" t="s">
        <v>71</v>
      </c>
    </row>
    <row r="6" spans="1:8">
      <c r="A6" s="2" t="s">
        <v>264</v>
      </c>
      <c r="B6" s="2" t="s">
        <v>265</v>
      </c>
      <c r="C6" s="2" t="s">
        <v>92</v>
      </c>
      <c r="D6" s="2" t="s">
        <v>266</v>
      </c>
      <c r="E6" s="2" t="s">
        <v>267</v>
      </c>
      <c r="F6" s="2" t="s">
        <v>268</v>
      </c>
      <c r="G6" s="2" t="s">
        <v>269</v>
      </c>
      <c r="H6" s="2" t="s">
        <v>270</v>
      </c>
    </row>
    <row r="7" spans="1:8">
      <c r="A7" t="s">
        <v>271</v>
      </c>
      <c r="B7" t="s">
        <v>272</v>
      </c>
      <c r="C7" t="s">
        <v>127</v>
      </c>
      <c r="D7" t="s">
        <v>273</v>
      </c>
      <c r="E7" t="s">
        <v>274</v>
      </c>
      <c r="F7" t="s">
        <v>275</v>
      </c>
      <c r="G7" t="s">
        <v>269</v>
      </c>
      <c r="H7" t="s">
        <v>270</v>
      </c>
    </row>
    <row r="8" spans="1:8">
      <c r="A8" s="2" t="s">
        <v>276</v>
      </c>
      <c r="B8" s="2" t="s">
        <v>277</v>
      </c>
      <c r="C8" s="2" t="s">
        <v>143</v>
      </c>
      <c r="D8" s="2" t="s">
        <v>278</v>
      </c>
      <c r="E8" s="2" t="s">
        <v>279</v>
      </c>
      <c r="F8" s="2" t="s">
        <v>280</v>
      </c>
      <c r="G8" s="2" t="s">
        <v>281</v>
      </c>
      <c r="H8" s="2" t="s">
        <v>270</v>
      </c>
    </row>
    <row r="9" spans="1:8">
      <c r="A9" t="s">
        <v>282</v>
      </c>
      <c r="B9" t="s">
        <v>283</v>
      </c>
      <c r="C9" t="s">
        <v>153</v>
      </c>
      <c r="D9" t="s">
        <v>284</v>
      </c>
      <c r="E9" t="s">
        <v>285</v>
      </c>
      <c r="F9" t="s">
        <v>286</v>
      </c>
      <c r="G9" t="s">
        <v>269</v>
      </c>
      <c r="H9" t="s">
        <v>270</v>
      </c>
    </row>
    <row r="10" spans="1:8">
      <c r="A10" s="2" t="s">
        <v>287</v>
      </c>
      <c r="B10" s="2" t="s">
        <v>288</v>
      </c>
      <c r="C10" s="2" t="s">
        <v>158</v>
      </c>
      <c r="D10" s="2" t="s">
        <v>289</v>
      </c>
      <c r="E10" s="2" t="s">
        <v>290</v>
      </c>
      <c r="F10" s="2" t="s">
        <v>291</v>
      </c>
      <c r="G10" s="2" t="s">
        <v>269</v>
      </c>
      <c r="H10" s="2" t="s">
        <v>270</v>
      </c>
    </row>
    <row r="11" spans="1:8">
      <c r="A11" t="s">
        <v>292</v>
      </c>
      <c r="B11" t="s">
        <v>293</v>
      </c>
      <c r="C11" t="s">
        <v>167</v>
      </c>
      <c r="D11" t="s">
        <v>294</v>
      </c>
      <c r="E11" t="s">
        <v>295</v>
      </c>
      <c r="F11" t="s">
        <v>296</v>
      </c>
      <c r="G11" t="s">
        <v>281</v>
      </c>
      <c r="H11" t="s">
        <v>270</v>
      </c>
    </row>
    <row r="14" spans="1:8" ht="19.2" customHeight="1">
      <c r="A14" s="18" t="s">
        <v>297</v>
      </c>
      <c r="B14" s="18"/>
      <c r="C14" s="18"/>
      <c r="D14" s="18"/>
      <c r="E14" s="18"/>
      <c r="F14" s="18"/>
      <c r="G14" s="18"/>
      <c r="H14" s="18"/>
    </row>
    <row r="15" spans="1:8" ht="19.2" customHeight="1">
      <c r="A15" s="18"/>
      <c r="B15" s="18"/>
      <c r="C15" s="18"/>
      <c r="D15" s="18"/>
      <c r="E15" s="18"/>
      <c r="F15" s="18"/>
      <c r="G15" s="18"/>
      <c r="H15" s="18"/>
    </row>
  </sheetData>
  <mergeCells count="3">
    <mergeCell ref="A1:H2"/>
    <mergeCell ref="A3:H3"/>
    <mergeCell ref="A14:H15"/>
  </mergeCells>
  <dataValidations count="1">
    <dataValidation type="list" sqref="H6:H11" xr:uid="{00000000-0002-0000-0400-000000000000}">
      <formula1>"Chưa duyệt,Đang xét,Đạt,Không đạt"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3.8"/>
  <cols>
    <col min="1" max="1" width="10" customWidth="1"/>
    <col min="2" max="2" width="72" customWidth="1"/>
    <col min="3" max="3" width="54" customWidth="1"/>
    <col min="4" max="4" width="65" customWidth="1"/>
    <col min="5" max="5" width="25" customWidth="1"/>
    <col min="6" max="6" width="24" customWidth="1"/>
    <col min="7" max="8" width="13" customWidth="1"/>
  </cols>
  <sheetData>
    <row r="1" spans="1:8" ht="20.85" customHeight="1">
      <c r="A1" s="15" t="s">
        <v>298</v>
      </c>
      <c r="B1" s="15"/>
      <c r="C1" s="15"/>
      <c r="D1" s="15"/>
      <c r="E1" s="15"/>
      <c r="F1" s="15"/>
      <c r="G1" s="15"/>
      <c r="H1" s="15"/>
    </row>
    <row r="2" spans="1:8" ht="20.85" customHeight="1">
      <c r="A2" s="15"/>
      <c r="B2" s="15"/>
      <c r="C2" s="15"/>
      <c r="D2" s="15"/>
      <c r="E2" s="15"/>
      <c r="F2" s="15"/>
      <c r="G2" s="15"/>
      <c r="H2" s="15"/>
    </row>
    <row r="3" spans="1:8" ht="19.2" customHeight="1">
      <c r="A3" s="16" t="s">
        <v>299</v>
      </c>
      <c r="B3" s="16"/>
      <c r="C3" s="16"/>
      <c r="D3" s="16"/>
      <c r="E3" s="16"/>
      <c r="F3" s="16"/>
      <c r="G3" s="16"/>
      <c r="H3" s="16"/>
    </row>
    <row r="4" spans="1:8" ht="8.85" customHeight="1"/>
    <row r="5" spans="1:8" ht="30.45" customHeight="1">
      <c r="A5" s="1" t="s">
        <v>300</v>
      </c>
      <c r="B5" s="1" t="s">
        <v>301</v>
      </c>
      <c r="C5" s="1" t="s">
        <v>302</v>
      </c>
      <c r="D5" s="1" t="s">
        <v>303</v>
      </c>
      <c r="E5" s="1" t="s">
        <v>304</v>
      </c>
      <c r="F5" s="1" t="s">
        <v>305</v>
      </c>
    </row>
    <row r="6" spans="1:8">
      <c r="A6" s="2">
        <v>1</v>
      </c>
      <c r="B6" s="2" t="s">
        <v>306</v>
      </c>
      <c r="C6" s="2" t="s">
        <v>307</v>
      </c>
      <c r="D6" s="2" t="s">
        <v>308</v>
      </c>
      <c r="E6" s="2" t="s">
        <v>309</v>
      </c>
      <c r="F6" s="2" t="s">
        <v>310</v>
      </c>
    </row>
    <row r="7" spans="1:8">
      <c r="A7">
        <v>2</v>
      </c>
      <c r="B7" t="s">
        <v>311</v>
      </c>
      <c r="C7" t="s">
        <v>312</v>
      </c>
      <c r="D7" t="s">
        <v>313</v>
      </c>
      <c r="E7" t="s">
        <v>83</v>
      </c>
      <c r="F7" t="s">
        <v>314</v>
      </c>
    </row>
    <row r="8" spans="1:8">
      <c r="A8" s="2">
        <v>3</v>
      </c>
      <c r="B8" s="2" t="s">
        <v>315</v>
      </c>
      <c r="C8" s="2" t="s">
        <v>316</v>
      </c>
      <c r="D8" s="2" t="s">
        <v>317</v>
      </c>
      <c r="E8" s="2" t="s">
        <v>318</v>
      </c>
      <c r="F8" s="2" t="s">
        <v>319</v>
      </c>
    </row>
    <row r="9" spans="1:8">
      <c r="A9">
        <v>4</v>
      </c>
      <c r="B9" t="s">
        <v>320</v>
      </c>
      <c r="C9" t="s">
        <v>321</v>
      </c>
      <c r="D9" t="s">
        <v>322</v>
      </c>
      <c r="E9" t="s">
        <v>323</v>
      </c>
      <c r="F9" t="s">
        <v>324</v>
      </c>
    </row>
    <row r="10" spans="1:8">
      <c r="A10" s="2">
        <v>5</v>
      </c>
      <c r="B10" s="2" t="s">
        <v>325</v>
      </c>
      <c r="C10" s="2" t="s">
        <v>326</v>
      </c>
      <c r="D10" s="2" t="s">
        <v>327</v>
      </c>
      <c r="E10" s="2" t="s">
        <v>328</v>
      </c>
      <c r="F10" s="2" t="s">
        <v>329</v>
      </c>
    </row>
    <row r="11" spans="1:8">
      <c r="A11">
        <v>6</v>
      </c>
      <c r="B11" t="s">
        <v>330</v>
      </c>
      <c r="C11" t="s">
        <v>331</v>
      </c>
      <c r="D11" t="s">
        <v>332</v>
      </c>
      <c r="E11" t="s">
        <v>333</v>
      </c>
      <c r="F11" t="s">
        <v>334</v>
      </c>
    </row>
    <row r="12" spans="1:8">
      <c r="A12" s="2">
        <v>7</v>
      </c>
      <c r="B12" s="2" t="s">
        <v>335</v>
      </c>
      <c r="C12" s="2" t="s">
        <v>336</v>
      </c>
      <c r="D12" s="2" t="s">
        <v>337</v>
      </c>
      <c r="E12" s="2" t="s">
        <v>338</v>
      </c>
      <c r="F12" s="2" t="s">
        <v>339</v>
      </c>
    </row>
    <row r="15" spans="1:8" ht="19.2" customHeight="1">
      <c r="A15" s="17" t="s">
        <v>340</v>
      </c>
      <c r="B15" s="17"/>
      <c r="C15" s="17"/>
      <c r="D15" s="17"/>
      <c r="E15" s="17"/>
      <c r="F15" s="17"/>
      <c r="G15" s="17"/>
      <c r="H15" s="17"/>
    </row>
    <row r="16" spans="1:8" ht="19.2" customHeight="1">
      <c r="A16" s="17"/>
      <c r="B16" s="17"/>
      <c r="C16" s="17"/>
      <c r="D16" s="17"/>
      <c r="E16" s="17"/>
      <c r="F16" s="17"/>
      <c r="G16" s="17"/>
      <c r="H16" s="17"/>
    </row>
  </sheetData>
  <mergeCells count="3">
    <mergeCell ref="A1:H2"/>
    <mergeCell ref="A3:H3"/>
    <mergeCell ref="A15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01_TONG_QUAN</vt:lpstr>
      <vt:lpstr>02_CONG_VIEC</vt:lpstr>
      <vt:lpstr>03_GANTT</vt:lpstr>
      <vt:lpstr>04_NHAN_LUC</vt:lpstr>
      <vt:lpstr>05_MOC_RUI_RO</vt:lpstr>
      <vt:lpstr>06_HUONG_DAN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 Van</cp:lastModifiedBy>
  <dcterms:modified xsi:type="dcterms:W3CDTF">2026-10-10T03:24:17Z</dcterms:modified>
</cp:coreProperties>
</file>