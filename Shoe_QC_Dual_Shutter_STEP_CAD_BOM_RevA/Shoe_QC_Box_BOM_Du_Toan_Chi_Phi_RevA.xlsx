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hoeQCbox\Shoe_QC_Dual_Shutter_STEP_CAD_BOM_RevA\"/>
    </mc:Choice>
  </mc:AlternateContent>
  <xr:revisionPtr revIDLastSave="0" documentId="13_ncr:1_{BEA55683-40BB-4C68-87F7-FF816B79B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TONG_QUAN" sheetId="1" r:id="rId1"/>
    <sheet name="02_BOM_VAT_TU" sheetId="2" r:id="rId2"/>
    <sheet name="03_CAT_VAT_LIEU" sheetId="3" r:id="rId3"/>
    <sheet name="04_NGUON_GIA" sheetId="4" r:id="rId4"/>
  </sheets>
  <calcPr calcId="191029"/>
</workbook>
</file>

<file path=xl/calcChain.xml><?xml version="1.0" encoding="utf-8"?>
<calcChain xmlns="http://schemas.openxmlformats.org/spreadsheetml/2006/main">
  <c r="E23" i="3" l="1"/>
  <c r="E24" i="3" s="1"/>
  <c r="E22" i="3"/>
  <c r="E21" i="3"/>
  <c r="E20" i="3"/>
  <c r="H12" i="3"/>
  <c r="I12" i="3" s="1"/>
  <c r="H11" i="3"/>
  <c r="I11" i="3" s="1"/>
  <c r="I10" i="3"/>
  <c r="H10" i="3"/>
  <c r="I9" i="3"/>
  <c r="H9" i="3"/>
  <c r="H8" i="3"/>
  <c r="I8" i="3" s="1"/>
  <c r="H7" i="3"/>
  <c r="I7" i="3" s="1"/>
  <c r="I6" i="3"/>
  <c r="H6" i="3"/>
  <c r="K31" i="2"/>
  <c r="I31" i="2"/>
  <c r="L31" i="2" s="1"/>
  <c r="K30" i="2"/>
  <c r="I30" i="2"/>
  <c r="L30" i="2" s="1"/>
  <c r="K29" i="2"/>
  <c r="I29" i="2"/>
  <c r="L29" i="2" s="1"/>
  <c r="K28" i="2"/>
  <c r="I28" i="2"/>
  <c r="L28" i="2" s="1"/>
  <c r="K27" i="2"/>
  <c r="I27" i="2"/>
  <c r="L27" i="2" s="1"/>
  <c r="K26" i="2"/>
  <c r="I26" i="2"/>
  <c r="L26" i="2" s="1"/>
  <c r="K25" i="2"/>
  <c r="I25" i="2"/>
  <c r="L25" i="2" s="1"/>
  <c r="K24" i="2"/>
  <c r="I24" i="2"/>
  <c r="L24" i="2" s="1"/>
  <c r="L23" i="2"/>
  <c r="K23" i="2"/>
  <c r="I23" i="2"/>
  <c r="L22" i="2"/>
  <c r="K22" i="2"/>
  <c r="I22" i="2"/>
  <c r="K21" i="2"/>
  <c r="I21" i="2"/>
  <c r="L21" i="2" s="1"/>
  <c r="C14" i="1" s="1"/>
  <c r="K20" i="2"/>
  <c r="I20" i="2"/>
  <c r="L20" i="2" s="1"/>
  <c r="L19" i="2"/>
  <c r="K19" i="2"/>
  <c r="I19" i="2"/>
  <c r="L18" i="2"/>
  <c r="K18" i="2"/>
  <c r="I18" i="2"/>
  <c r="K17" i="2"/>
  <c r="I17" i="2"/>
  <c r="L17" i="2" s="1"/>
  <c r="K16" i="2"/>
  <c r="I16" i="2"/>
  <c r="L16" i="2" s="1"/>
  <c r="C13" i="1" s="1"/>
  <c r="L15" i="2"/>
  <c r="K15" i="2"/>
  <c r="I15" i="2"/>
  <c r="L14" i="2"/>
  <c r="K14" i="2"/>
  <c r="I14" i="2"/>
  <c r="K13" i="2"/>
  <c r="I13" i="2"/>
  <c r="L13" i="2" s="1"/>
  <c r="K12" i="2"/>
  <c r="I12" i="2"/>
  <c r="L12" i="2" s="1"/>
  <c r="C12" i="1" s="1"/>
  <c r="L11" i="2"/>
  <c r="K11" i="2"/>
  <c r="I11" i="2"/>
  <c r="L10" i="2"/>
  <c r="K10" i="2"/>
  <c r="I10" i="2"/>
  <c r="K9" i="2"/>
  <c r="I9" i="2"/>
  <c r="L9" i="2" s="1"/>
  <c r="K8" i="2"/>
  <c r="I8" i="2"/>
  <c r="L8" i="2" s="1"/>
  <c r="C11" i="1" s="1"/>
  <c r="L7" i="2"/>
  <c r="K7" i="2"/>
  <c r="I7" i="2"/>
  <c r="L6" i="2"/>
  <c r="K6" i="2"/>
  <c r="K32" i="2" s="1"/>
  <c r="A6" i="1" s="1"/>
  <c r="I6" i="2"/>
  <c r="B14" i="1"/>
  <c r="B13" i="1"/>
  <c r="B12" i="1"/>
  <c r="B11" i="1"/>
  <c r="B15" i="1" s="1"/>
  <c r="D12" i="1" l="1"/>
  <c r="D13" i="1"/>
  <c r="C15" i="1"/>
  <c r="D14" i="1"/>
  <c r="I15" i="3"/>
  <c r="L32" i="2"/>
  <c r="E6" i="1" s="1"/>
  <c r="D11" i="1"/>
  <c r="D15" i="1" s="1"/>
  <c r="H15" i="3"/>
</calcChain>
</file>

<file path=xl/sharedStrings.xml><?xml version="1.0" encoding="utf-8"?>
<sst xmlns="http://schemas.openxmlformats.org/spreadsheetml/2006/main" count="396" uniqueCount="272">
  <si>
    <t>SHOE QC BOX  |  DỰ TOÁN VẬT TƯ NỘI BỘ</t>
  </si>
  <si>
    <t>Rev B • 10/10/2026  •  Cơ cấu cửa đứng đối diện • 1 prototype • giá VND</t>
  </si>
  <si>
    <t>TỔNG GIÁ TRỊ VẬT TƯ (mua mới toàn bộ)</t>
  </si>
  <si>
    <t>TIỀN CẦN MUA SAU KHI TRỪ KHO</t>
  </si>
  <si>
    <t>NHÓM</t>
  </si>
  <si>
    <t>Ngân sách toàn bộ (đ)</t>
  </si>
  <si>
    <t>Cần mua (đ)</t>
  </si>
  <si>
    <t>Tỷ trọng</t>
  </si>
  <si>
    <t>Vật liệu xưởng</t>
  </si>
  <si>
    <t>Cơ cấu cửa</t>
  </si>
  <si>
    <t>Vật tư phụ</t>
  </si>
  <si>
    <t>Điện - điều khiển</t>
  </si>
  <si>
    <t>TỔNG</t>
  </si>
  <si>
    <t>PHẠM VI TÍNH GIÁ (chỉ vật liệu và linh kiện)</t>
  </si>
  <si>
    <t>✓ Có: nhôm/tấm thép/phôi, ray + block, 2 actuator, gioăng, bu lông, cảm biến và điều khiển cơ bản.</t>
  </si>
  <si>
    <t>✓ Xưởng tự cắt, khoan, chấn, lắp ráp: phần công gia công nội bộ được quy về 0 trong BOM này.</t>
  </si>
  <si>
    <t>✕ Không có: thuê gia công, nhân công nội bộ, logistics, phí vận chuyển, VAT, chi phí quản lý.</t>
  </si>
  <si>
    <t>✕ Không có: 2 cánh tay robot, gripper, camera QC, LED vision, băng tải và đóng hộp giày.</t>
  </si>
  <si>
    <t>ⓘ Toàn bộ tồn kho mặc định 0 vì chưa biết số lượng thực. Điền vào BOM để tính tiền mua bù.</t>
  </si>
  <si>
    <t>ⓘ Chọn ray thật trước khi khoan vách/bản mã; block MGN12 có thể lệch kích thước mô hình STEP.</t>
  </si>
  <si>
    <t>⚠ Giá web + ước tính, chưa phải báo giá nhà cung cấp. Cần xin RFQ cho ray/block/actuator/PLC.</t>
  </si>
  <si>
    <t>⚠ Đây là cấu hình thử nghiệm nguyên lý. Đưa vào dây chuyền cần thẩm định an toàn và điều khiển chống kẹp/chống rơi.</t>
  </si>
  <si>
    <t>THAM CHIẾU CAD  |  Không tính trùng P10R: ty actuator đã nằm trong P10.</t>
  </si>
  <si>
    <t>BOM theo P01–P13, GA_ASSEMBLY_CLOSED.step và bảng BOM Rev A của dự án.</t>
  </si>
  <si>
    <t>SHOE QC BOX  |  BOM VẬT TƯ &amp; LINH KIỆN — REV B</t>
  </si>
  <si>
    <t>01 prototype • Gia công nhôm/thép tại xưởng • KHÔNG có công gia công, logistics, VAT hay quản lý chung</t>
  </si>
  <si>
    <t>Mã VT</t>
  </si>
  <si>
    <t>Nhóm</t>
  </si>
  <si>
    <t>Nguyên vật liệu / linh kiện</t>
  </si>
  <si>
    <t>Mã CAD</t>
  </si>
  <si>
    <t>Quy cách / ghi chú đặt hàng</t>
  </si>
  <si>
    <t>ĐVT</t>
  </si>
  <si>
    <t>SL cần cho 1 bộ</t>
  </si>
  <si>
    <t>SL có trong kho</t>
  </si>
  <si>
    <t>SL phải mua</t>
  </si>
  <si>
    <t>Đơn giá tham khảo (đ)</t>
  </si>
  <si>
    <t>Giá trị đủ vật tư (đ)</t>
  </si>
  <si>
    <t>Tiền cần chi mua (đ)</t>
  </si>
  <si>
    <t>Độ tin cậy giá</t>
  </si>
  <si>
    <t>Nguồn giá / link</t>
  </si>
  <si>
    <t>Ghi chú kỹ thuật &amp; phạm vi</t>
  </si>
  <si>
    <t>Trạng thái RFQ</t>
  </si>
  <si>
    <t>VL01</t>
  </si>
  <si>
    <t>Nhôm tấm 5052 H32 dày 3 mm</t>
  </si>
  <si>
    <t>P01 P02 P03 P04</t>
  </si>
  <si>
    <t>1 tấm 1200×2400 mm; tổng chi tiết 2,295 m²</t>
  </si>
  <si>
    <t>tấm</t>
  </si>
  <si>
    <t>Giá web quy đổi</t>
  </si>
  <si>
    <t>https://tampoly.com/gia-nhom-tam-5052/</t>
  </si>
  <si>
    <t>1 tấm 2,88 m² × ~503.000đ/m²; xưởng tự cắt; cần nesting</t>
  </si>
  <si>
    <t>Cần xác nhận</t>
  </si>
  <si>
    <t>VL02</t>
  </si>
  <si>
    <t>Nhôm 5052 H32 dày 4 mm cắt lẻ</t>
  </si>
  <si>
    <t>P05</t>
  </si>
  <si>
    <t>2 cửa 430×360×4 mm; đặt mua 0,36 m²</t>
  </si>
  <si>
    <t>m²</t>
  </si>
  <si>
    <t>Giá web tham khảo</t>
  </si>
  <si>
    <t>0,310 m² chi tiết + dư ~16%; kiểm tra đơn hàng tối thiểu</t>
  </si>
  <si>
    <t>VL03</t>
  </si>
  <si>
    <t>Nhôm hộp vuông 30×30×4 mm</t>
  </si>
  <si>
    <t>P06 P13</t>
  </si>
  <si>
    <t>1 cây dài 6 m; nhu cầu cắt 4,52 m</t>
  </si>
  <si>
    <t>cây 6m</t>
  </si>
  <si>
    <t>Ước tính chưa RFQ</t>
  </si>
  <si>
    <t>Phải đúng chiều dày 4 mm; không thay bằng 1–2 mm mà không sửa CAD</t>
  </si>
  <si>
    <t>VL04</t>
  </si>
  <si>
    <t>Thép tấm 5 mm cho giá chữ L</t>
  </si>
  <si>
    <t>P09</t>
  </si>
  <si>
    <t>8 giá; phôi triển khai ~1,55 kg</t>
  </si>
  <si>
    <t>kg</t>
  </si>
  <si>
    <t>Cho hao hụt/nhập kho 2 kg; cắt và chấn tại xưởng</t>
  </si>
  <si>
    <t>VL05</t>
  </si>
  <si>
    <t>Thép tấm 6 mm cho tai nối</t>
  </si>
  <si>
    <t>P11</t>
  </si>
  <si>
    <t>2 tai 48×108×6 mm; phôi ~0,49 kg</t>
  </si>
  <si>
    <t>Cho hao hụt và lượng cắt tối thiểu 1 kg</t>
  </si>
  <si>
    <t>CK01</t>
  </si>
  <si>
    <t>Ray dẫn hướng tuyến tính đứng</t>
  </si>
  <si>
    <t>P07</t>
  </si>
  <si>
    <t>820 mm × 4 thanh; ray lắp cố định</t>
  </si>
  <si>
    <t>thanh</t>
  </si>
  <si>
    <t>https://vietmachine.com.vn/ray-truot-con-truot-mgn12.html</t>
  </si>
  <si>
    <t>Chưa chốt series, chiều dài 820/850 và lỗ gá; giá MGN12 thay đổi theo chiều dài</t>
  </si>
  <si>
    <t>CK02</t>
  </si>
  <si>
    <t>Con trượt / guide block</t>
  </si>
  <si>
    <t>P08</t>
  </si>
  <si>
    <t>2 block/ray × 4 ray = 8 block</t>
  </si>
  <si>
    <t>cái</t>
  </si>
  <si>
    <t>Phải đồng bộ đúng series ray; model STEP là envelope, không phải catalog</t>
  </si>
  <si>
    <t>CK03</t>
  </si>
  <si>
    <t>Xy-lanh điện DC 24 V, stroke 350 mm</t>
  </si>
  <si>
    <t>P10 + P10R</t>
  </si>
  <si>
    <t>2 bộ, đã gồm ty và giới hạn nội bộ nếu có</t>
  </si>
  <si>
    <t>bộ</t>
  </si>
  <si>
    <t>Có giá web theo hành trình</t>
  </si>
  <si>
    <t>https://cnc3ds.com/products/xi-lanh-dien-pfde</t>
  </si>
  <si>
    <t>Xác nhận tốc độ, lực, chiều dài đóng và tự hãm; KHÔNG tính tiền P10R riêng</t>
  </si>
  <si>
    <t>CK04</t>
  </si>
  <si>
    <t>Cụm chặn/giữ chống rơi cửa (dự kiến)</t>
  </si>
  <si>
    <t>Bổ sung</t>
  </si>
  <si>
    <t>2 bộ cơ khí cho 2 cửa</t>
  </si>
  <si>
    <t>Chỉ là ngân sách phát triển mẫu, chưa đủ để chứng minh chức năng an toàn</t>
  </si>
  <si>
    <t>CK05</t>
  </si>
  <si>
    <t>Cữ chặn cơ khí + cao su giảm chấn</t>
  </si>
  <si>
    <t>2 vị trí/ cửa × 2 cửa</t>
  </si>
  <si>
    <t>Giới hạn mở và đóng; chặn riêng khỏi limit switch</t>
  </si>
  <si>
    <t>PK01</t>
  </si>
  <si>
    <t>Dải chổi/nỉ chắn sáng tại cửa</t>
  </si>
  <si>
    <t>P12</t>
  </si>
  <si>
    <t>8 dải × 360 mm</t>
  </si>
  <si>
    <t>dải</t>
  </si>
  <si>
    <t>Giảm sáng lọt qua cửa; tránh ma sát gây kẹt</t>
  </si>
  <si>
    <t>PK02</t>
  </si>
  <si>
    <t>Gioăng EPDM/vật liệu kín sáng cho vỏ</t>
  </si>
  <si>
    <t>8 m tổng cho các mép tấm cố định</t>
  </si>
  <si>
    <t>m</t>
  </si>
  <si>
    <t>Tăng độ kín sáng ở nắp, vách và mép tiếp giáp</t>
  </si>
  <si>
    <t>PK03</t>
  </si>
  <si>
    <t>Bu lông, ê-cu, long đền M4/M5/M6</t>
  </si>
  <si>
    <t>Lô lắp ráp 1 máy</t>
  </si>
  <si>
    <t>lô</t>
  </si>
  <si>
    <t>Có thể trừ tồn kho; kiểm tra số lượng/ren cuối theo CAD</t>
  </si>
  <si>
    <t>PK04</t>
  </si>
  <si>
    <t>Ke gá nhỏ, keo ren, vật tư cố định</t>
  </si>
  <si>
    <t>Không gồm chi phí gia công, sơn và nhân công</t>
  </si>
  <si>
    <t>PK05</t>
  </si>
  <si>
    <t>Nắp che cơ cấu hoặc tấm che mép ray</t>
  </si>
  <si>
    <t>Vật tư xưởng 1 bộ</t>
  </si>
  <si>
    <t>Gia công tại xưởng; rà soát nguy cơ kẹp tay</t>
  </si>
  <si>
    <t>DK01</t>
  </si>
  <si>
    <t>Cảm biến phát hiện robot/giày tiếp cận</t>
  </si>
  <si>
    <t>2 cửa × 1 cảm biến</t>
  </si>
  <si>
    <t>Giá web dòng phổ thông</t>
  </si>
  <si>
    <t>https://websosanh.vn/s/e3f%2Bds30c4.htm</t>
  </si>
  <si>
    <t>Sensor quang phổ thông không phải sensor an toàn được chứng nhận</t>
  </si>
  <si>
    <t>DK02</t>
  </si>
  <si>
    <t>Cảm biến kiểm tra vùng cửa thông thoáng</t>
  </si>
  <si>
    <t>2 cửa × 1 vùng dò cơ bản</t>
  </si>
  <si>
    <t>Chỉ để logic vận hành prototype; không thay safety light curtain</t>
  </si>
  <si>
    <t>DK03</t>
  </si>
  <si>
    <t>Công tắc hành trình cửa mở/đóng</t>
  </si>
  <si>
    <t>OPEN + CLOSED cho mỗi cửa</t>
  </si>
  <si>
    <t>Độc lập với cảm biến tiếp cận</t>
  </si>
  <si>
    <t>DK04</t>
  </si>
  <si>
    <t>Bộ điều khiển mini 24 V (PLC/logic I/O)</t>
  </si>
  <si>
    <t>1 bộ cho 2 cửa</t>
  </si>
  <si>
    <t>Chưa chốt PLC/Safety PLC; kiểm tra 2 ngõ điều khiển đảo chiều và I/O</t>
  </si>
  <si>
    <t>DK05</t>
  </si>
  <si>
    <t>Module đảo chiều động cơ 24 V</t>
  </si>
  <si>
    <t>2 cửa × 1 module</t>
  </si>
  <si>
    <t>https://dientu24hvn.com/san-pham/mach-dao-chieu-dong-co-tu-xa-co-hanh-trinh-10a-433mhz-loai-tot-su-dung-6-24vdc/</t>
  </si>
  <si>
    <t>Cần chọn giao tiếp điều khiển và dòng chịu tải theo actuator thực tế</t>
  </si>
  <si>
    <t>DK06</t>
  </si>
  <si>
    <t>Nguồn 24 V DC 10 A</t>
  </si>
  <si>
    <t>1 nguồn cho 2 cơ cấu và điều khiển</t>
  </si>
  <si>
    <t>Có giá web</t>
  </si>
  <si>
    <t>https://www.denledviet.com.vn/nguon-to-ong-24v-10a</t>
  </si>
  <si>
    <t>Phải kiểm tra tổng dòng khởi động và xung tải 2 actuator</t>
  </si>
  <si>
    <t>DK07</t>
  </si>
  <si>
    <t>CB/cầu chì/bảo vệ đầu ra &amp; relay phụ</t>
  </si>
  <si>
    <t>1 lô phần tử bảo vệ</t>
  </si>
  <si>
    <t>Dự toán phần tử rời, chưa thẩm định mạch an toàn</t>
  </si>
  <si>
    <t>DK08</t>
  </si>
  <si>
    <t>Nút dừng khẩn + báo trạng thái</t>
  </si>
  <si>
    <t>1 bộ nút E-stop/đèn báo cơ bản</t>
  </si>
  <si>
    <t>E-stop thật cần thiết kế theo đánh giá rủi ro, không chỉ dùng PLC thường</t>
  </si>
  <si>
    <t>DK09</t>
  </si>
  <si>
    <t>Dây điện, đầu nối, ống bọc, xích cáp</t>
  </si>
  <si>
    <t>1 lô cho 2 cửa</t>
  </si>
  <si>
    <t>Phù hợp đường đi actuator di động, cố định dây an toàn</t>
  </si>
  <si>
    <t>DK10</t>
  </si>
  <si>
    <t>Hộp điện nhỏ, terminal và thanh DIN</t>
  </si>
  <si>
    <t>1 cụm điều khiển</t>
  </si>
  <si>
    <t>Chọn IP và thể tích hộp theo không gian lắp</t>
  </si>
  <si>
    <t>DK11</t>
  </si>
  <si>
    <t>Đèn chỉ báo trạng thái cửa 24 V</t>
  </si>
  <si>
    <t>2 vị trí gần cửa</t>
  </si>
  <si>
    <t>Không tính LED chiếu sáng camera QC</t>
  </si>
  <si>
    <t>TỔNG VẬT TƯ</t>
  </si>
  <si>
    <t>Chỉnh cột H (tồn kho) và J (đơn giá) → cột I/K/L và Dashboard tự cập nhật. Màu vàng là ô có thể nhập.</t>
  </si>
  <si>
    <t>ĐỊNH MỨC VẬT LIỆU CẮT TẠI XƯỞNG  |  1 BỘ QC BOX</t>
  </si>
  <si>
    <t>Danh sách phôi để bộ phận xưởng tự cắt/khoan; giá chỉ tính một lần ở BOM vật tư, KHÔNG cộng trùng tại đây.</t>
  </si>
  <si>
    <t>CAD</t>
  </si>
  <si>
    <t>Tên part</t>
  </si>
  <si>
    <t>SL</t>
  </si>
  <si>
    <t>Dài (mm)</t>
  </si>
  <si>
    <t>Rộng (mm)</t>
  </si>
  <si>
    <t>Dày (mm)</t>
  </si>
  <si>
    <t>Vật liệu</t>
  </si>
  <si>
    <t>Diện tích phôi (m²)</t>
  </si>
  <si>
    <t>Khối lượng (kg)</t>
  </si>
  <si>
    <t>Khối lượng riêng</t>
  </si>
  <si>
    <t>Ghi chú</t>
  </si>
  <si>
    <t>P01</t>
  </si>
  <si>
    <t>Tấm đáy</t>
  </si>
  <si>
    <t>Al 5052</t>
  </si>
  <si>
    <t>Cắt lỗ gá khi dựng bản vẽ</t>
  </si>
  <si>
    <t>P02</t>
  </si>
  <si>
    <t>Tấm nóc</t>
  </si>
  <si>
    <t>Tấm kín</t>
  </si>
  <si>
    <t>P03</t>
  </si>
  <si>
    <t>Vách trước / sau</t>
  </si>
  <si>
    <t>Không có cửa</t>
  </si>
  <si>
    <t>P04</t>
  </si>
  <si>
    <t>Hai vách đầu</t>
  </si>
  <si>
    <t>Có cutout 380 × 310, phôi ngoài nguyên tấm</t>
  </si>
  <si>
    <t>Tấm cửa trượt</t>
  </si>
  <si>
    <t>Hành trình nâng 350 mm</t>
  </si>
  <si>
    <t>Giá chữ L (phôi trải ước tính)</t>
  </si>
  <si>
    <t>Thép</t>
  </si>
  <si>
    <t>Phôi trải sơ bộ; cần chừa bán kính uốn + K-factor</t>
  </si>
  <si>
    <t>Tai nối actuator</t>
  </si>
  <si>
    <t>Đối chiếu lỗ theo actuator</t>
  </si>
  <si>
    <t>TỔNG PHÔI TẤM</t>
  </si>
  <si>
    <t>DANH SÁCH PHÔI NHÔM HỘP 30 × 30 × 4 mm</t>
  </si>
  <si>
    <t>Chi tiết</t>
  </si>
  <si>
    <t>Số đoạn</t>
  </si>
  <si>
    <t>Dài/đoạn (mm)</t>
  </si>
  <si>
    <t>Tổng dài (mm)</t>
  </si>
  <si>
    <t>P06</t>
  </si>
  <si>
    <t>Trụ đỡ ray</t>
  </si>
  <si>
    <t>P13</t>
  </si>
  <si>
    <t>Giằng đỉnh</t>
  </si>
  <si>
    <t>CẦN (m)</t>
  </si>
  <si>
    <t>MUA (m)</t>
  </si>
  <si>
    <t>DƯ (m)</t>
  </si>
  <si>
    <t>Lưu ý: 1 tấm Al 5052 3 mm 1200×2400 có diện tích 2,88 m²; tổng phôi P01–P04 ~2,295 m². Kiểm tra nesting và đường cắt trước khi mua.</t>
  </si>
  <si>
    <t>Nhôm cửa 4 mm dùng ~0,310 m² phôi, BOM mua cắt lẻ 0,36 m². Không trừ diện tích cutout khi tính diện tích tấm phôi mua.</t>
  </si>
  <si>
    <t>CƠ SỞ GIÁ &amp; HƯỚNG DẪN XIN BÁO GIÁ</t>
  </si>
  <si>
    <t>STT</t>
  </si>
  <si>
    <t>Hạng mục</t>
  </si>
  <si>
    <t>Cơ sở/độ tin cậy</t>
  </si>
  <si>
    <t>Đơn giá/nhận xét</t>
  </si>
  <si>
    <t>Nguồn liên kết</t>
  </si>
  <si>
    <t>Việc cần xác nhận</t>
  </si>
  <si>
    <t>Nhôm 5052 3 mm</t>
  </si>
  <si>
    <t>Giá tham khảo thị trường</t>
  </si>
  <si>
    <t>420–650 nghìn đ/m²; BOM dùng ~503 nghìn đ/m²</t>
  </si>
  <si>
    <t>Có bán 1 tấm 1200×2400? Giá tấm nguyên và khổ tồn kho</t>
  </si>
  <si>
    <t>Nhôm 5052 4 mm</t>
  </si>
  <si>
    <t>560–850 nghìn đ/m²; BOM dùng 750 nghìn đ/m²</t>
  </si>
  <si>
    <t>Giá cắt lẻ 0,36 m² hay cần mua nguyên tấm</t>
  </si>
  <si>
    <t>Ray + block</t>
  </si>
  <si>
    <t>Giá đang ước tính</t>
  </si>
  <si>
    <t>Ray 400 nghìn/thanh, block 130 nghìn/cái</t>
  </si>
  <si>
    <t>Đúng series, tải, dài 820 mm và mẫu lỗ gá; cần RFQ</t>
  </si>
  <si>
    <t>Actuator 24 V 350 mm</t>
  </si>
  <si>
    <t>Có công bố giá theo hành trình</t>
  </si>
  <si>
    <t>1.050.000đ/chiếc theo cấu hình 350 mm</t>
  </si>
  <si>
    <t>Chốt tốc độ/lực/chu kỳ, chống rơi và kích thước khi thu hết</t>
  </si>
  <si>
    <t>Nguồn 24 V 10 A</t>
  </si>
  <si>
    <t>Có giá trực tiếp</t>
  </si>
  <si>
    <t>424.000đ/ bộ</t>
  </si>
  <si>
    <t>Đủ dòng đỉnh 2 actuator hay không</t>
  </si>
  <si>
    <t>Module đảo chiều 24 V</t>
  </si>
  <si>
    <t>Giá tham khảo trực tiếp</t>
  </si>
  <si>
    <t>230.000đ/bộ (module phổ thông)</t>
  </si>
  <si>
    <t>Tương thích PLC/sensor và dòng khởi động actuator</t>
  </si>
  <si>
    <t>Cảm biến quang tiếp cận</t>
  </si>
  <si>
    <t>Giá thị trường dòng phổ thông</t>
  </si>
  <si>
    <t>Ví dụ 100–119 nghìn đ/cái</t>
  </si>
  <si>
    <t>Không nhầm hàng phổ thông với cảm biến an toàn</t>
  </si>
  <si>
    <t>Nhôm hộp 30×30×4</t>
  </si>
  <si>
    <t>Đang ước tính</t>
  </si>
  <si>
    <t>650 nghìn đ/cây 6 m</t>
  </si>
  <si>
    <t>Tìm đúng độ dày 4 mm và nhôm hộp; không dùng giá thép 30×30</t>
  </si>
  <si>
    <t>Bản mã thép, gioăng, nút, dây điện, PLC</t>
  </si>
  <si>
    <t>Tạm tính để dự trù, chưa phải báo giá</t>
  </si>
  <si>
    <t>Xin giá vật tư tồn xưởng trước, sau đó giá mua ngoài</t>
  </si>
  <si>
    <t>ƯU TIÊN XIN GIÁ: RAY + BLOCK → ACTUATOR → NHÔM HỘP 30×30×4 → PLC/driver → 2 BỘ CẢM BIẾN</t>
  </si>
  <si>
    <t>MỐC NGÂN SÁCH: ĐÂY LÀ BOM PROTOTYPE CHỨ KHÔNG PHẢI HỒ SƠ AN TOÀN MÁY CÔNG NGHIỆP.</t>
  </si>
  <si>
    <t>Chi phí an toàn chức năng bổ sung (safety relay / safety light curtain / bảo vệ chống kẹp) chỉ chốt sau đánh giá rủi ro, KHÔNG đã được tính đủ trong BOM này.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</si>
</sst>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"/>
    <numFmt numFmtId="165" formatCode="#,##0\ &quot;₫&quot;;[Red]\(#,##0\ &quot;₫&quot;\);\-"/>
    <numFmt numFmtId="166" formatCode="0.0%"/>
    <numFmt numFmtId="167" formatCode="0.000"/>
  </numFmts>
  <fonts count="8">
    <font>
      <sz val="11"/>
      <name val="Carlito"/>
    </font>
    <font>
      <sz val="10"/>
      <name val="Aptos"/>
    </font>
    <font>
      <sz val="10"/>
      <color rgb="FFFFFFFF"/>
      <name val="Aptos"/>
    </font>
    <font>
      <b/>
      <sz val="10"/>
      <color rgb="FFFFFFFF"/>
      <name val="Aptos"/>
    </font>
    <font>
      <b/>
      <sz val="17"/>
      <color rgb="FFFFFFFF"/>
      <name val="Aptos"/>
    </font>
    <font>
      <sz val="10"/>
      <color rgb="FF152637"/>
      <name val="Aptos"/>
    </font>
    <font>
      <b/>
      <sz val="10"/>
      <name val="Aptos"/>
    </font>
    <font>
      <b/>
      <sz val="23"/>
      <name val="Aptos"/>
    </font>
  </fonts>
  <fills count="9">
    <fill>
      <patternFill patternType="none"/>
    </fill>
    <fill>
      <patternFill patternType="gray125"/>
    </fill>
    <fill>
      <patternFill patternType="solid">
        <fgColor rgb="FF12253C"/>
      </patternFill>
    </fill>
    <fill>
      <patternFill patternType="solid">
        <fgColor rgb="FFE8F5F7"/>
      </patternFill>
    </fill>
    <fill>
      <patternFill patternType="solid">
        <fgColor rgb="FF087F8C"/>
      </patternFill>
    </fill>
    <fill>
      <patternFill patternType="solid">
        <fgColor rgb="FFFFF4D3"/>
      </patternFill>
    </fill>
    <fill>
      <patternFill patternType="solid">
        <fgColor rgb="FFD9F5E8"/>
      </patternFill>
    </fill>
    <fill>
      <patternFill patternType="solid">
        <fgColor rgb="FF183149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/>
    <xf numFmtId="164" fontId="1" fillId="0" borderId="0" xfId="0" applyNumberFormat="1" applyFont="1"/>
    <xf numFmtId="164" fontId="1" fillId="5" borderId="0" xfId="0" applyNumberFormat="1" applyFont="1" applyFill="1"/>
    <xf numFmtId="164" fontId="1" fillId="3" borderId="0" xfId="0" applyNumberFormat="1" applyFont="1" applyFill="1"/>
    <xf numFmtId="165" fontId="1" fillId="5" borderId="0" xfId="0" applyNumberFormat="1" applyFont="1" applyFill="1"/>
    <xf numFmtId="165" fontId="1" fillId="6" borderId="0" xfId="0" applyNumberFormat="1" applyFont="1" applyFill="1"/>
    <xf numFmtId="165" fontId="1" fillId="0" borderId="0" xfId="0" applyNumberFormat="1" applyFont="1"/>
    <xf numFmtId="164" fontId="3" fillId="2" borderId="0" xfId="0" applyNumberFormat="1" applyFont="1" applyFill="1"/>
    <xf numFmtId="165" fontId="3" fillId="2" borderId="0" xfId="0" applyNumberFormat="1" applyFont="1" applyFill="1"/>
    <xf numFmtId="0" fontId="2" fillId="4" borderId="0" xfId="0" applyFont="1" applyFill="1"/>
    <xf numFmtId="165" fontId="7" fillId="3" borderId="0" xfId="0" applyNumberFormat="1" applyFont="1" applyFill="1"/>
    <xf numFmtId="165" fontId="7" fillId="6" borderId="0" xfId="0" applyNumberFormat="1" applyFont="1" applyFill="1"/>
    <xf numFmtId="0" fontId="1" fillId="7" borderId="0" xfId="0" applyFont="1" applyFill="1"/>
    <xf numFmtId="0" fontId="3" fillId="7" borderId="0" xfId="0" applyFont="1" applyFill="1"/>
    <xf numFmtId="166" fontId="1" fillId="0" borderId="0" xfId="0" applyNumberFormat="1" applyFont="1"/>
    <xf numFmtId="165" fontId="3" fillId="4" borderId="0" xfId="0" applyNumberFormat="1" applyFont="1" applyFill="1"/>
    <xf numFmtId="166" fontId="3" fillId="4" borderId="0" xfId="0" applyNumberFormat="1" applyFont="1" applyFill="1"/>
    <xf numFmtId="0" fontId="3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6" fillId="3" borderId="0" xfId="0" applyFont="1" applyFill="1"/>
    <xf numFmtId="167" fontId="1" fillId="0" borderId="0" xfId="0" applyNumberFormat="1" applyFont="1"/>
    <xf numFmtId="167" fontId="6" fillId="3" borderId="0" xfId="0" applyNumberFormat="1" applyFont="1" applyFill="1"/>
    <xf numFmtId="2" fontId="1" fillId="0" borderId="0" xfId="0" applyNumberFormat="1" applyFont="1"/>
    <xf numFmtId="2" fontId="6" fillId="3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E13" sqref="E13"/>
    </sheetView>
  </sheetViews>
  <sheetFormatPr defaultRowHeight="13.8"/>
  <cols>
    <col min="1" max="1" width="31" customWidth="1"/>
    <col min="2" max="3" width="24" customWidth="1"/>
    <col min="4" max="4" width="18" customWidth="1"/>
    <col min="5" max="5" width="22" customWidth="1"/>
    <col min="6" max="7" width="16" customWidth="1"/>
    <col min="8" max="8" width="18" customWidth="1"/>
  </cols>
  <sheetData>
    <row r="1" spans="1:16" ht="17.55" customHeight="1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7.5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0.85" customHeight="1">
      <c r="A3" s="6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4">
      <c r="A5" s="7" t="s">
        <v>2</v>
      </c>
      <c r="B5" s="7"/>
      <c r="C5" s="7"/>
      <c r="D5" s="7"/>
      <c r="E5" s="7" t="s">
        <v>3</v>
      </c>
      <c r="F5" s="7"/>
      <c r="G5" s="7"/>
      <c r="H5" s="7"/>
      <c r="I5" s="1"/>
      <c r="J5" s="1"/>
      <c r="K5" s="1"/>
      <c r="L5" s="1"/>
      <c r="M5" s="1"/>
      <c r="N5" s="1"/>
      <c r="O5" s="1"/>
      <c r="P5" s="1"/>
    </row>
    <row r="6" spans="1:16" ht="29.4">
      <c r="A6" s="21">
        <f>'02_BOM_VAT_TU'!K32</f>
        <v>12323000</v>
      </c>
      <c r="B6" s="5"/>
      <c r="C6" s="5"/>
      <c r="D6" s="5"/>
      <c r="E6" s="22">
        <f>'02_BOM_VAT_TU'!L32</f>
        <v>12323000</v>
      </c>
      <c r="F6" s="11"/>
      <c r="G6" s="11"/>
      <c r="H6" s="11"/>
      <c r="I6" s="1"/>
      <c r="J6" s="1"/>
      <c r="K6" s="1"/>
      <c r="L6" s="1"/>
      <c r="M6" s="1"/>
      <c r="N6" s="1"/>
      <c r="O6" s="1"/>
      <c r="P6" s="1"/>
    </row>
    <row r="7" spans="1:16" ht="14.4">
      <c r="A7" s="5"/>
      <c r="B7" s="5"/>
      <c r="C7" s="5"/>
      <c r="D7" s="5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</row>
    <row r="8" spans="1:16" ht="14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4">
      <c r="A10" s="24" t="s">
        <v>4</v>
      </c>
      <c r="B10" s="24" t="s">
        <v>5</v>
      </c>
      <c r="C10" s="24" t="s">
        <v>6</v>
      </c>
      <c r="D10" s="24" t="s">
        <v>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9.95" customHeight="1">
      <c r="A11" s="1" t="s">
        <v>8</v>
      </c>
      <c r="B11" s="17">
        <f>SUMIF('02_BOM_VAT_TU'!$B$6:$B$31,A11,'02_BOM_VAT_TU'!$K$6:$K$31)</f>
        <v>2475000</v>
      </c>
      <c r="C11" s="17">
        <f>SUMIF('02_BOM_VAT_TU'!$B$6:$B$31,A11,'02_BOM_VAT_TU'!$L$6:$L$31)</f>
        <v>2475000</v>
      </c>
      <c r="D11" s="25">
        <f>IFERROR(B11/$B$15,0)</f>
        <v>0.20084395033676863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9.95" customHeight="1">
      <c r="A12" s="1" t="s">
        <v>9</v>
      </c>
      <c r="B12" s="17">
        <f>SUMIF('02_BOM_VAT_TU'!$B$6:$B$31,A12,'02_BOM_VAT_TU'!$K$6:$K$31)</f>
        <v>5220000</v>
      </c>
      <c r="C12" s="17">
        <f>SUMIF('02_BOM_VAT_TU'!$B$6:$B$31,A12,'02_BOM_VAT_TU'!$L$6:$L$31)</f>
        <v>5220000</v>
      </c>
      <c r="D12" s="25">
        <f>IFERROR(B12/$B$15,0)</f>
        <v>0.42359814980118476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9.95" customHeight="1">
      <c r="A13" s="1" t="s">
        <v>10</v>
      </c>
      <c r="B13" s="17">
        <f>SUMIF('02_BOM_VAT_TU'!$B$6:$B$31,A13,'02_BOM_VAT_TU'!$K$6:$K$31)</f>
        <v>934000</v>
      </c>
      <c r="C13" s="17">
        <f>SUMIF('02_BOM_VAT_TU'!$B$6:$B$31,A13,'02_BOM_VAT_TU'!$L$6:$L$31)</f>
        <v>934000</v>
      </c>
      <c r="D13" s="25">
        <f>IFERROR(B13/$B$15,0)</f>
        <v>7.5793232167491675E-2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9.95" customHeight="1">
      <c r="A14" s="1" t="s">
        <v>11</v>
      </c>
      <c r="B14" s="17">
        <f>SUMIF('02_BOM_VAT_TU'!$B$6:$B$31,A14,'02_BOM_VAT_TU'!$K$6:$K$31)</f>
        <v>3694000</v>
      </c>
      <c r="C14" s="17">
        <f>SUMIF('02_BOM_VAT_TU'!$B$6:$B$31,A14,'02_BOM_VAT_TU'!$L$6:$L$31)</f>
        <v>3694000</v>
      </c>
      <c r="D14" s="25">
        <f>IFERROR(B14/$B$15,0)</f>
        <v>0.2997646676945549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9.95" customHeight="1">
      <c r="A15" s="7" t="s">
        <v>12</v>
      </c>
      <c r="B15" s="26">
        <f>SUM(B11:B14)</f>
        <v>12323000</v>
      </c>
      <c r="C15" s="26">
        <f>SUM(C11:C14)</f>
        <v>12323000</v>
      </c>
      <c r="D15" s="27">
        <f>SUM(D11:D14)</f>
        <v>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7.6">
      <c r="A18" s="28" t="s">
        <v>13</v>
      </c>
      <c r="B18" s="28"/>
      <c r="C18" s="28"/>
      <c r="D18" s="28"/>
      <c r="E18" s="28"/>
      <c r="F18" s="28"/>
      <c r="G18" s="28"/>
      <c r="H18" s="28"/>
      <c r="I18" s="1"/>
      <c r="J18" s="1"/>
      <c r="K18" s="1"/>
      <c r="L18" s="1"/>
      <c r="M18" s="1"/>
      <c r="N18" s="1"/>
      <c r="O18" s="1"/>
      <c r="P18" s="1"/>
    </row>
    <row r="19" spans="1:16" ht="39" customHeight="1">
      <c r="A19" s="29" t="s">
        <v>14</v>
      </c>
      <c r="B19" s="29"/>
      <c r="C19" s="29"/>
      <c r="D19" s="29"/>
      <c r="E19" s="29"/>
      <c r="F19" s="29"/>
      <c r="G19" s="29"/>
      <c r="H19" s="29"/>
      <c r="I19" s="1"/>
      <c r="J19" s="1"/>
      <c r="K19" s="1"/>
      <c r="L19" s="1"/>
      <c r="M19" s="1"/>
      <c r="N19" s="1"/>
      <c r="O19" s="1"/>
      <c r="P19" s="1"/>
    </row>
    <row r="20" spans="1:16" ht="39" customHeight="1">
      <c r="A20" s="9" t="s">
        <v>15</v>
      </c>
      <c r="B20" s="9"/>
      <c r="C20" s="9"/>
      <c r="D20" s="9"/>
      <c r="E20" s="9"/>
      <c r="F20" s="9"/>
      <c r="G20" s="9"/>
      <c r="H20" s="9"/>
      <c r="I20" s="1"/>
      <c r="J20" s="1"/>
      <c r="K20" s="1"/>
      <c r="L20" s="1"/>
      <c r="M20" s="1"/>
      <c r="N20" s="1"/>
      <c r="O20" s="1"/>
      <c r="P20" s="1"/>
    </row>
    <row r="21" spans="1:16" ht="49.8" customHeight="1">
      <c r="A21" s="29" t="s">
        <v>16</v>
      </c>
      <c r="B21" s="29"/>
      <c r="C21" s="29"/>
      <c r="D21" s="29"/>
      <c r="E21" s="29"/>
      <c r="F21" s="29"/>
      <c r="G21" s="29"/>
      <c r="H21" s="29"/>
      <c r="I21" s="1"/>
      <c r="J21" s="1"/>
      <c r="K21" s="1"/>
      <c r="L21" s="1"/>
      <c r="M21" s="1"/>
      <c r="N21" s="1"/>
      <c r="O21" s="1"/>
      <c r="P21" s="1"/>
    </row>
    <row r="22" spans="1:16" ht="43.2" customHeight="1">
      <c r="A22" s="9" t="s">
        <v>17</v>
      </c>
      <c r="B22" s="9"/>
      <c r="C22" s="9"/>
      <c r="D22" s="9"/>
      <c r="E22" s="9"/>
      <c r="F22" s="9"/>
      <c r="G22" s="9"/>
      <c r="H22" s="9"/>
      <c r="I22" s="1"/>
      <c r="J22" s="1"/>
      <c r="K22" s="1"/>
      <c r="L22" s="1"/>
      <c r="M22" s="1"/>
      <c r="N22" s="1"/>
      <c r="O22" s="1"/>
      <c r="P22" s="1"/>
    </row>
    <row r="23" spans="1:16" ht="50.4" customHeight="1">
      <c r="A23" s="29" t="s">
        <v>18</v>
      </c>
      <c r="B23" s="29"/>
      <c r="C23" s="29"/>
      <c r="D23" s="29"/>
      <c r="E23" s="29"/>
      <c r="F23" s="29"/>
      <c r="G23" s="29"/>
      <c r="H23" s="29"/>
      <c r="I23" s="1"/>
      <c r="J23" s="1"/>
      <c r="K23" s="1"/>
      <c r="L23" s="1"/>
      <c r="M23" s="1"/>
      <c r="N23" s="1"/>
      <c r="O23" s="1"/>
      <c r="P23" s="1"/>
    </row>
    <row r="24" spans="1:16" ht="53.4" customHeight="1">
      <c r="A24" s="9" t="s">
        <v>19</v>
      </c>
      <c r="B24" s="9"/>
      <c r="C24" s="9"/>
      <c r="D24" s="9"/>
      <c r="E24" s="9"/>
      <c r="F24" s="9"/>
      <c r="G24" s="9"/>
      <c r="H24" s="9"/>
      <c r="I24" s="1"/>
      <c r="J24" s="1"/>
      <c r="K24" s="1"/>
      <c r="L24" s="1"/>
      <c r="M24" s="1"/>
      <c r="N24" s="1"/>
      <c r="O24" s="1"/>
      <c r="P24" s="1"/>
    </row>
    <row r="25" spans="1:16" ht="52.2" customHeight="1">
      <c r="A25" s="29" t="s">
        <v>20</v>
      </c>
      <c r="B25" s="29"/>
      <c r="C25" s="29"/>
      <c r="D25" s="29"/>
      <c r="E25" s="29"/>
      <c r="F25" s="29"/>
      <c r="G25" s="29"/>
      <c r="H25" s="29"/>
      <c r="I25" s="1"/>
      <c r="J25" s="1"/>
      <c r="K25" s="1"/>
      <c r="L25" s="1"/>
      <c r="M25" s="1"/>
      <c r="N25" s="1"/>
      <c r="O25" s="1"/>
      <c r="P25" s="1"/>
    </row>
    <row r="26" spans="1:16" ht="52.2" customHeight="1">
      <c r="A26" s="9" t="s">
        <v>21</v>
      </c>
      <c r="B26" s="9"/>
      <c r="C26" s="9"/>
      <c r="D26" s="9"/>
      <c r="E26" s="9"/>
      <c r="F26" s="9"/>
      <c r="G26" s="9"/>
      <c r="H26" s="9"/>
      <c r="I26" s="1"/>
      <c r="J26" s="1"/>
      <c r="K26" s="1"/>
      <c r="L26" s="1"/>
      <c r="M26" s="1"/>
      <c r="N26" s="1"/>
      <c r="O26" s="1"/>
      <c r="P26" s="1"/>
    </row>
    <row r="27" spans="1:16" ht="14.4">
      <c r="A27" s="9"/>
      <c r="B27" s="9"/>
      <c r="C27" s="9"/>
      <c r="D27" s="9"/>
      <c r="E27" s="9"/>
      <c r="F27" s="9"/>
      <c r="G27" s="9"/>
      <c r="H27" s="9"/>
      <c r="I27" s="1"/>
      <c r="J27" s="1"/>
      <c r="K27" s="1"/>
      <c r="L27" s="1"/>
      <c r="M27" s="1"/>
      <c r="N27" s="1"/>
      <c r="O27" s="1"/>
      <c r="P27" s="1"/>
    </row>
    <row r="28" spans="1:16" ht="27.6">
      <c r="A28" s="30" t="s">
        <v>22</v>
      </c>
      <c r="B28" s="30"/>
      <c r="C28" s="30"/>
      <c r="D28" s="30"/>
      <c r="E28" s="30"/>
      <c r="F28" s="30"/>
      <c r="G28" s="30"/>
      <c r="H28" s="30"/>
      <c r="I28" s="1"/>
      <c r="J28" s="1"/>
      <c r="K28" s="1"/>
      <c r="L28" s="1"/>
      <c r="M28" s="1"/>
      <c r="N28" s="1"/>
      <c r="O28" s="1"/>
      <c r="P28" s="1"/>
    </row>
    <row r="29" spans="1:16" ht="41.4">
      <c r="A29" s="30" t="s">
        <v>23</v>
      </c>
      <c r="B29" s="30"/>
      <c r="C29" s="30"/>
      <c r="D29" s="30"/>
      <c r="E29" s="30"/>
      <c r="F29" s="30"/>
      <c r="G29" s="30"/>
      <c r="H29" s="30"/>
      <c r="I29" s="1"/>
      <c r="J29" s="1"/>
      <c r="K29" s="1"/>
      <c r="L29" s="1"/>
      <c r="M29" s="1"/>
      <c r="N29" s="1"/>
      <c r="O29" s="1"/>
      <c r="P29" s="1"/>
    </row>
    <row r="30" spans="1:1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workbookViewId="0">
      <pane ySplit="5" topLeftCell="A6" activePane="bottomLeft" state="frozen"/>
      <selection pane="bottomLeft"/>
    </sheetView>
  </sheetViews>
  <sheetFormatPr defaultRowHeight="13.8"/>
  <cols>
    <col min="1" max="1" width="12" customWidth="1"/>
    <col min="2" max="2" width="21" customWidth="1"/>
    <col min="3" max="3" width="42" customWidth="1"/>
    <col min="4" max="4" width="24" customWidth="1"/>
    <col min="5" max="5" width="43" customWidth="1"/>
    <col min="6" max="6" width="12" customWidth="1"/>
    <col min="7" max="7" width="15" customWidth="1"/>
    <col min="8" max="8" width="16" customWidth="1"/>
    <col min="9" max="9" width="15" customWidth="1"/>
    <col min="10" max="10" width="20" customWidth="1"/>
    <col min="11" max="12" width="22" customWidth="1"/>
    <col min="13" max="13" width="25" customWidth="1"/>
    <col min="14" max="14" width="48" customWidth="1"/>
    <col min="15" max="15" width="68" customWidth="1"/>
    <col min="16" max="16" width="17" customWidth="1"/>
  </cols>
  <sheetData>
    <row r="1" spans="1:16" ht="22.05" customHeight="1">
      <c r="A1" s="4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2.0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5.95" customHeight="1">
      <c r="A3" s="6" t="s">
        <v>25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1.95" customHeight="1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8" t="s">
        <v>36</v>
      </c>
      <c r="L5" s="8" t="s">
        <v>37</v>
      </c>
      <c r="M5" s="8" t="s">
        <v>38</v>
      </c>
      <c r="N5" s="8" t="s">
        <v>39</v>
      </c>
      <c r="O5" s="8" t="s">
        <v>40</v>
      </c>
      <c r="P5" s="8" t="s">
        <v>41</v>
      </c>
    </row>
    <row r="6" spans="1:16" ht="39" customHeight="1">
      <c r="A6" s="1" t="s">
        <v>42</v>
      </c>
      <c r="B6" s="1" t="s">
        <v>8</v>
      </c>
      <c r="C6" s="9" t="s">
        <v>43</v>
      </c>
      <c r="D6" s="9" t="s">
        <v>44</v>
      </c>
      <c r="E6" s="9" t="s">
        <v>45</v>
      </c>
      <c r="F6" s="1" t="s">
        <v>46</v>
      </c>
      <c r="G6" s="12">
        <v>1</v>
      </c>
      <c r="H6" s="13">
        <v>0</v>
      </c>
      <c r="I6" s="14">
        <f t="shared" ref="I6:I31" si="0">MAX(0,G6-H6)</f>
        <v>1</v>
      </c>
      <c r="J6" s="15">
        <v>1450000</v>
      </c>
      <c r="K6" s="16">
        <f t="shared" ref="K6:K31" si="1">G6*J6</f>
        <v>1450000</v>
      </c>
      <c r="L6" s="16">
        <f t="shared" ref="L6:L31" si="2">I6*J6</f>
        <v>1450000</v>
      </c>
      <c r="M6" s="9" t="s">
        <v>47</v>
      </c>
      <c r="N6" s="9" t="s">
        <v>48</v>
      </c>
      <c r="O6" s="9" t="s">
        <v>49</v>
      </c>
      <c r="P6" s="10" t="s">
        <v>50</v>
      </c>
    </row>
    <row r="7" spans="1:16" ht="39" customHeight="1">
      <c r="A7" s="1" t="s">
        <v>51</v>
      </c>
      <c r="B7" s="1" t="s">
        <v>8</v>
      </c>
      <c r="C7" s="9" t="s">
        <v>52</v>
      </c>
      <c r="D7" s="9" t="s">
        <v>53</v>
      </c>
      <c r="E7" s="9" t="s">
        <v>54</v>
      </c>
      <c r="F7" s="1" t="s">
        <v>55</v>
      </c>
      <c r="G7" s="12">
        <v>0.36</v>
      </c>
      <c r="H7" s="13">
        <v>0</v>
      </c>
      <c r="I7" s="14">
        <f t="shared" si="0"/>
        <v>0.36</v>
      </c>
      <c r="J7" s="15">
        <v>750000</v>
      </c>
      <c r="K7" s="16">
        <f t="shared" si="1"/>
        <v>270000</v>
      </c>
      <c r="L7" s="16">
        <f t="shared" si="2"/>
        <v>270000</v>
      </c>
      <c r="M7" s="9" t="s">
        <v>56</v>
      </c>
      <c r="N7" s="9" t="s">
        <v>48</v>
      </c>
      <c r="O7" s="9" t="s">
        <v>57</v>
      </c>
      <c r="P7" s="10" t="s">
        <v>50</v>
      </c>
    </row>
    <row r="8" spans="1:16" ht="39" customHeight="1">
      <c r="A8" s="1" t="s">
        <v>58</v>
      </c>
      <c r="B8" s="1" t="s">
        <v>8</v>
      </c>
      <c r="C8" s="9" t="s">
        <v>59</v>
      </c>
      <c r="D8" s="9" t="s">
        <v>60</v>
      </c>
      <c r="E8" s="9" t="s">
        <v>61</v>
      </c>
      <c r="F8" s="1" t="s">
        <v>62</v>
      </c>
      <c r="G8" s="12">
        <v>1</v>
      </c>
      <c r="H8" s="13">
        <v>0</v>
      </c>
      <c r="I8" s="14">
        <f t="shared" si="0"/>
        <v>1</v>
      </c>
      <c r="J8" s="15">
        <v>650000</v>
      </c>
      <c r="K8" s="16">
        <f t="shared" si="1"/>
        <v>650000</v>
      </c>
      <c r="L8" s="16">
        <f t="shared" si="2"/>
        <v>650000</v>
      </c>
      <c r="M8" s="9" t="s">
        <v>63</v>
      </c>
      <c r="N8" s="9"/>
      <c r="O8" s="9" t="s">
        <v>64</v>
      </c>
      <c r="P8" s="10" t="s">
        <v>50</v>
      </c>
    </row>
    <row r="9" spans="1:16" ht="39" customHeight="1">
      <c r="A9" s="1" t="s">
        <v>65</v>
      </c>
      <c r="B9" s="1" t="s">
        <v>8</v>
      </c>
      <c r="C9" s="9" t="s">
        <v>66</v>
      </c>
      <c r="D9" s="9" t="s">
        <v>67</v>
      </c>
      <c r="E9" s="9" t="s">
        <v>68</v>
      </c>
      <c r="F9" s="1" t="s">
        <v>69</v>
      </c>
      <c r="G9" s="12">
        <v>2</v>
      </c>
      <c r="H9" s="13">
        <v>0</v>
      </c>
      <c r="I9" s="14">
        <f t="shared" si="0"/>
        <v>2</v>
      </c>
      <c r="J9" s="15">
        <v>35000</v>
      </c>
      <c r="K9" s="16">
        <f t="shared" si="1"/>
        <v>70000</v>
      </c>
      <c r="L9" s="16">
        <f t="shared" si="2"/>
        <v>70000</v>
      </c>
      <c r="M9" s="9" t="s">
        <v>63</v>
      </c>
      <c r="N9" s="9"/>
      <c r="O9" s="9" t="s">
        <v>70</v>
      </c>
      <c r="P9" s="10" t="s">
        <v>50</v>
      </c>
    </row>
    <row r="10" spans="1:16" ht="39" customHeight="1">
      <c r="A10" s="1" t="s">
        <v>71</v>
      </c>
      <c r="B10" s="1" t="s">
        <v>8</v>
      </c>
      <c r="C10" s="9" t="s">
        <v>72</v>
      </c>
      <c r="D10" s="9" t="s">
        <v>73</v>
      </c>
      <c r="E10" s="9" t="s">
        <v>74</v>
      </c>
      <c r="F10" s="1" t="s">
        <v>69</v>
      </c>
      <c r="G10" s="12">
        <v>1</v>
      </c>
      <c r="H10" s="13">
        <v>0</v>
      </c>
      <c r="I10" s="14">
        <f t="shared" si="0"/>
        <v>1</v>
      </c>
      <c r="J10" s="15">
        <v>35000</v>
      </c>
      <c r="K10" s="16">
        <f t="shared" si="1"/>
        <v>35000</v>
      </c>
      <c r="L10" s="16">
        <f t="shared" si="2"/>
        <v>35000</v>
      </c>
      <c r="M10" s="9" t="s">
        <v>63</v>
      </c>
      <c r="N10" s="9"/>
      <c r="O10" s="9" t="s">
        <v>75</v>
      </c>
      <c r="P10" s="10" t="s">
        <v>50</v>
      </c>
    </row>
    <row r="11" spans="1:16" ht="39" customHeight="1">
      <c r="A11" s="1" t="s">
        <v>76</v>
      </c>
      <c r="B11" s="1" t="s">
        <v>9</v>
      </c>
      <c r="C11" s="9" t="s">
        <v>77</v>
      </c>
      <c r="D11" s="9" t="s">
        <v>78</v>
      </c>
      <c r="E11" s="9" t="s">
        <v>79</v>
      </c>
      <c r="F11" s="1" t="s">
        <v>80</v>
      </c>
      <c r="G11" s="12">
        <v>4</v>
      </c>
      <c r="H11" s="13">
        <v>0</v>
      </c>
      <c r="I11" s="14">
        <f t="shared" si="0"/>
        <v>4</v>
      </c>
      <c r="J11" s="15">
        <v>400000</v>
      </c>
      <c r="K11" s="16">
        <f t="shared" si="1"/>
        <v>1600000</v>
      </c>
      <c r="L11" s="16">
        <f t="shared" si="2"/>
        <v>1600000</v>
      </c>
      <c r="M11" s="9" t="s">
        <v>63</v>
      </c>
      <c r="N11" s="9" t="s">
        <v>81</v>
      </c>
      <c r="O11" s="9" t="s">
        <v>82</v>
      </c>
      <c r="P11" s="10" t="s">
        <v>50</v>
      </c>
    </row>
    <row r="12" spans="1:16" ht="39" customHeight="1">
      <c r="A12" s="1" t="s">
        <v>83</v>
      </c>
      <c r="B12" s="1" t="s">
        <v>9</v>
      </c>
      <c r="C12" s="9" t="s">
        <v>84</v>
      </c>
      <c r="D12" s="9" t="s">
        <v>85</v>
      </c>
      <c r="E12" s="9" t="s">
        <v>86</v>
      </c>
      <c r="F12" s="1" t="s">
        <v>87</v>
      </c>
      <c r="G12" s="12">
        <v>8</v>
      </c>
      <c r="H12" s="13">
        <v>0</v>
      </c>
      <c r="I12" s="14">
        <f t="shared" si="0"/>
        <v>8</v>
      </c>
      <c r="J12" s="15">
        <v>130000</v>
      </c>
      <c r="K12" s="16">
        <f t="shared" si="1"/>
        <v>1040000</v>
      </c>
      <c r="L12" s="16">
        <f t="shared" si="2"/>
        <v>1040000</v>
      </c>
      <c r="M12" s="9" t="s">
        <v>63</v>
      </c>
      <c r="N12" s="9" t="s">
        <v>81</v>
      </c>
      <c r="O12" s="9" t="s">
        <v>88</v>
      </c>
      <c r="P12" s="10" t="s">
        <v>50</v>
      </c>
    </row>
    <row r="13" spans="1:16" ht="39" customHeight="1">
      <c r="A13" s="1" t="s">
        <v>89</v>
      </c>
      <c r="B13" s="1" t="s">
        <v>9</v>
      </c>
      <c r="C13" s="9" t="s">
        <v>90</v>
      </c>
      <c r="D13" s="9" t="s">
        <v>91</v>
      </c>
      <c r="E13" s="9" t="s">
        <v>92</v>
      </c>
      <c r="F13" s="1" t="s">
        <v>93</v>
      </c>
      <c r="G13" s="12">
        <v>2</v>
      </c>
      <c r="H13" s="13">
        <v>0</v>
      </c>
      <c r="I13" s="14">
        <f t="shared" si="0"/>
        <v>2</v>
      </c>
      <c r="J13" s="15">
        <v>1050000</v>
      </c>
      <c r="K13" s="16">
        <f t="shared" si="1"/>
        <v>2100000</v>
      </c>
      <c r="L13" s="16">
        <f t="shared" si="2"/>
        <v>2100000</v>
      </c>
      <c r="M13" s="9" t="s">
        <v>94</v>
      </c>
      <c r="N13" s="9" t="s">
        <v>95</v>
      </c>
      <c r="O13" s="9" t="s">
        <v>96</v>
      </c>
      <c r="P13" s="10" t="s">
        <v>50</v>
      </c>
    </row>
    <row r="14" spans="1:16" ht="39" customHeight="1">
      <c r="A14" s="1" t="s">
        <v>97</v>
      </c>
      <c r="B14" s="1" t="s">
        <v>9</v>
      </c>
      <c r="C14" s="9" t="s">
        <v>98</v>
      </c>
      <c r="D14" s="9" t="s">
        <v>99</v>
      </c>
      <c r="E14" s="9" t="s">
        <v>100</v>
      </c>
      <c r="F14" s="1" t="s">
        <v>93</v>
      </c>
      <c r="G14" s="12">
        <v>2</v>
      </c>
      <c r="H14" s="13">
        <v>0</v>
      </c>
      <c r="I14" s="14">
        <f t="shared" si="0"/>
        <v>2</v>
      </c>
      <c r="J14" s="15">
        <v>180000</v>
      </c>
      <c r="K14" s="16">
        <f t="shared" si="1"/>
        <v>360000</v>
      </c>
      <c r="L14" s="16">
        <f t="shared" si="2"/>
        <v>360000</v>
      </c>
      <c r="M14" s="9" t="s">
        <v>63</v>
      </c>
      <c r="N14" s="9"/>
      <c r="O14" s="9" t="s">
        <v>101</v>
      </c>
      <c r="P14" s="10" t="s">
        <v>50</v>
      </c>
    </row>
    <row r="15" spans="1:16" ht="39" customHeight="1">
      <c r="A15" s="1" t="s">
        <v>102</v>
      </c>
      <c r="B15" s="1" t="s">
        <v>9</v>
      </c>
      <c r="C15" s="9" t="s">
        <v>103</v>
      </c>
      <c r="D15" s="9" t="s">
        <v>99</v>
      </c>
      <c r="E15" s="9" t="s">
        <v>104</v>
      </c>
      <c r="F15" s="1" t="s">
        <v>87</v>
      </c>
      <c r="G15" s="12">
        <v>4</v>
      </c>
      <c r="H15" s="13">
        <v>0</v>
      </c>
      <c r="I15" s="14">
        <f t="shared" si="0"/>
        <v>4</v>
      </c>
      <c r="J15" s="15">
        <v>30000</v>
      </c>
      <c r="K15" s="16">
        <f t="shared" si="1"/>
        <v>120000</v>
      </c>
      <c r="L15" s="16">
        <f t="shared" si="2"/>
        <v>120000</v>
      </c>
      <c r="M15" s="9" t="s">
        <v>63</v>
      </c>
      <c r="N15" s="9"/>
      <c r="O15" s="9" t="s">
        <v>105</v>
      </c>
      <c r="P15" s="10" t="s">
        <v>50</v>
      </c>
    </row>
    <row r="16" spans="1:16" ht="39" customHeight="1">
      <c r="A16" s="1" t="s">
        <v>106</v>
      </c>
      <c r="B16" s="1" t="s">
        <v>10</v>
      </c>
      <c r="C16" s="9" t="s">
        <v>107</v>
      </c>
      <c r="D16" s="9" t="s">
        <v>108</v>
      </c>
      <c r="E16" s="9" t="s">
        <v>109</v>
      </c>
      <c r="F16" s="1" t="s">
        <v>110</v>
      </c>
      <c r="G16" s="12">
        <v>8</v>
      </c>
      <c r="H16" s="13">
        <v>0</v>
      </c>
      <c r="I16" s="14">
        <f t="shared" si="0"/>
        <v>8</v>
      </c>
      <c r="J16" s="15">
        <v>25000</v>
      </c>
      <c r="K16" s="16">
        <f t="shared" si="1"/>
        <v>200000</v>
      </c>
      <c r="L16" s="16">
        <f t="shared" si="2"/>
        <v>200000</v>
      </c>
      <c r="M16" s="9" t="s">
        <v>63</v>
      </c>
      <c r="N16" s="9"/>
      <c r="O16" s="9" t="s">
        <v>111</v>
      </c>
      <c r="P16" s="10" t="s">
        <v>50</v>
      </c>
    </row>
    <row r="17" spans="1:16" ht="39" customHeight="1">
      <c r="A17" s="1" t="s">
        <v>112</v>
      </c>
      <c r="B17" s="1" t="s">
        <v>10</v>
      </c>
      <c r="C17" s="9" t="s">
        <v>113</v>
      </c>
      <c r="D17" s="9" t="s">
        <v>99</v>
      </c>
      <c r="E17" s="9" t="s">
        <v>114</v>
      </c>
      <c r="F17" s="1" t="s">
        <v>115</v>
      </c>
      <c r="G17" s="12">
        <v>8</v>
      </c>
      <c r="H17" s="13">
        <v>0</v>
      </c>
      <c r="I17" s="14">
        <f t="shared" si="0"/>
        <v>8</v>
      </c>
      <c r="J17" s="15">
        <v>23000</v>
      </c>
      <c r="K17" s="16">
        <f t="shared" si="1"/>
        <v>184000</v>
      </c>
      <c r="L17" s="16">
        <f t="shared" si="2"/>
        <v>184000</v>
      </c>
      <c r="M17" s="9" t="s">
        <v>63</v>
      </c>
      <c r="N17" s="9"/>
      <c r="O17" s="9" t="s">
        <v>116</v>
      </c>
      <c r="P17" s="10" t="s">
        <v>50</v>
      </c>
    </row>
    <row r="18" spans="1:16" ht="39" customHeight="1">
      <c r="A18" s="1" t="s">
        <v>117</v>
      </c>
      <c r="B18" s="1" t="s">
        <v>10</v>
      </c>
      <c r="C18" s="9" t="s">
        <v>118</v>
      </c>
      <c r="D18" s="9" t="s">
        <v>99</v>
      </c>
      <c r="E18" s="9" t="s">
        <v>119</v>
      </c>
      <c r="F18" s="1" t="s">
        <v>120</v>
      </c>
      <c r="G18" s="12">
        <v>1</v>
      </c>
      <c r="H18" s="13">
        <v>0</v>
      </c>
      <c r="I18" s="14">
        <f t="shared" si="0"/>
        <v>1</v>
      </c>
      <c r="J18" s="15">
        <v>300000</v>
      </c>
      <c r="K18" s="16">
        <f t="shared" si="1"/>
        <v>300000</v>
      </c>
      <c r="L18" s="16">
        <f t="shared" si="2"/>
        <v>300000</v>
      </c>
      <c r="M18" s="9" t="s">
        <v>63</v>
      </c>
      <c r="N18" s="9"/>
      <c r="O18" s="9" t="s">
        <v>121</v>
      </c>
      <c r="P18" s="10" t="s">
        <v>50</v>
      </c>
    </row>
    <row r="19" spans="1:16" ht="39" customHeight="1">
      <c r="A19" s="1" t="s">
        <v>122</v>
      </c>
      <c r="B19" s="1" t="s">
        <v>10</v>
      </c>
      <c r="C19" s="9" t="s">
        <v>123</v>
      </c>
      <c r="D19" s="9" t="s">
        <v>99</v>
      </c>
      <c r="E19" s="9" t="s">
        <v>119</v>
      </c>
      <c r="F19" s="1" t="s">
        <v>120</v>
      </c>
      <c r="G19" s="12">
        <v>1</v>
      </c>
      <c r="H19" s="13">
        <v>0</v>
      </c>
      <c r="I19" s="14">
        <f t="shared" si="0"/>
        <v>1</v>
      </c>
      <c r="J19" s="15">
        <v>130000</v>
      </c>
      <c r="K19" s="16">
        <f t="shared" si="1"/>
        <v>130000</v>
      </c>
      <c r="L19" s="16">
        <f t="shared" si="2"/>
        <v>130000</v>
      </c>
      <c r="M19" s="9" t="s">
        <v>63</v>
      </c>
      <c r="N19" s="9"/>
      <c r="O19" s="9" t="s">
        <v>124</v>
      </c>
      <c r="P19" s="10" t="s">
        <v>50</v>
      </c>
    </row>
    <row r="20" spans="1:16" ht="39" customHeight="1">
      <c r="A20" s="1" t="s">
        <v>125</v>
      </c>
      <c r="B20" s="1" t="s">
        <v>10</v>
      </c>
      <c r="C20" s="9" t="s">
        <v>126</v>
      </c>
      <c r="D20" s="9" t="s">
        <v>99</v>
      </c>
      <c r="E20" s="9" t="s">
        <v>127</v>
      </c>
      <c r="F20" s="1" t="s">
        <v>93</v>
      </c>
      <c r="G20" s="12">
        <v>1</v>
      </c>
      <c r="H20" s="13">
        <v>0</v>
      </c>
      <c r="I20" s="14">
        <f t="shared" si="0"/>
        <v>1</v>
      </c>
      <c r="J20" s="15">
        <v>120000</v>
      </c>
      <c r="K20" s="16">
        <f t="shared" si="1"/>
        <v>120000</v>
      </c>
      <c r="L20" s="16">
        <f t="shared" si="2"/>
        <v>120000</v>
      </c>
      <c r="M20" s="9" t="s">
        <v>63</v>
      </c>
      <c r="N20" s="9"/>
      <c r="O20" s="9" t="s">
        <v>128</v>
      </c>
      <c r="P20" s="10" t="s">
        <v>50</v>
      </c>
    </row>
    <row r="21" spans="1:16" ht="39" customHeight="1">
      <c r="A21" s="1" t="s">
        <v>129</v>
      </c>
      <c r="B21" s="1" t="s">
        <v>11</v>
      </c>
      <c r="C21" s="9" t="s">
        <v>130</v>
      </c>
      <c r="D21" s="9" t="s">
        <v>99</v>
      </c>
      <c r="E21" s="9" t="s">
        <v>131</v>
      </c>
      <c r="F21" s="1" t="s">
        <v>87</v>
      </c>
      <c r="G21" s="12">
        <v>2</v>
      </c>
      <c r="H21" s="13">
        <v>0</v>
      </c>
      <c r="I21" s="14">
        <f t="shared" si="0"/>
        <v>2</v>
      </c>
      <c r="J21" s="15">
        <v>105000</v>
      </c>
      <c r="K21" s="16">
        <f t="shared" si="1"/>
        <v>210000</v>
      </c>
      <c r="L21" s="16">
        <f t="shared" si="2"/>
        <v>210000</v>
      </c>
      <c r="M21" s="9" t="s">
        <v>132</v>
      </c>
      <c r="N21" s="9" t="s">
        <v>133</v>
      </c>
      <c r="O21" s="9" t="s">
        <v>134</v>
      </c>
      <c r="P21" s="10" t="s">
        <v>50</v>
      </c>
    </row>
    <row r="22" spans="1:16" ht="39" customHeight="1">
      <c r="A22" s="1" t="s">
        <v>135</v>
      </c>
      <c r="B22" s="1" t="s">
        <v>11</v>
      </c>
      <c r="C22" s="9" t="s">
        <v>136</v>
      </c>
      <c r="D22" s="9" t="s">
        <v>99</v>
      </c>
      <c r="E22" s="9" t="s">
        <v>137</v>
      </c>
      <c r="F22" s="1" t="s">
        <v>93</v>
      </c>
      <c r="G22" s="12">
        <v>2</v>
      </c>
      <c r="H22" s="13">
        <v>0</v>
      </c>
      <c r="I22" s="14">
        <f t="shared" si="0"/>
        <v>2</v>
      </c>
      <c r="J22" s="15">
        <v>150000</v>
      </c>
      <c r="K22" s="16">
        <f t="shared" si="1"/>
        <v>300000</v>
      </c>
      <c r="L22" s="16">
        <f t="shared" si="2"/>
        <v>300000</v>
      </c>
      <c r="M22" s="9" t="s">
        <v>63</v>
      </c>
      <c r="N22" s="9"/>
      <c r="O22" s="9" t="s">
        <v>138</v>
      </c>
      <c r="P22" s="10" t="s">
        <v>50</v>
      </c>
    </row>
    <row r="23" spans="1:16" ht="39" customHeight="1">
      <c r="A23" s="1" t="s">
        <v>139</v>
      </c>
      <c r="B23" s="1" t="s">
        <v>11</v>
      </c>
      <c r="C23" s="9" t="s">
        <v>140</v>
      </c>
      <c r="D23" s="9" t="s">
        <v>99</v>
      </c>
      <c r="E23" s="9" t="s">
        <v>141</v>
      </c>
      <c r="F23" s="1" t="s">
        <v>87</v>
      </c>
      <c r="G23" s="12">
        <v>4</v>
      </c>
      <c r="H23" s="13">
        <v>0</v>
      </c>
      <c r="I23" s="14">
        <f t="shared" si="0"/>
        <v>4</v>
      </c>
      <c r="J23" s="15">
        <v>60000</v>
      </c>
      <c r="K23" s="16">
        <f t="shared" si="1"/>
        <v>240000</v>
      </c>
      <c r="L23" s="16">
        <f t="shared" si="2"/>
        <v>240000</v>
      </c>
      <c r="M23" s="9" t="s">
        <v>63</v>
      </c>
      <c r="N23" s="9"/>
      <c r="O23" s="9" t="s">
        <v>142</v>
      </c>
      <c r="P23" s="10" t="s">
        <v>50</v>
      </c>
    </row>
    <row r="24" spans="1:16" ht="39" customHeight="1">
      <c r="A24" s="1" t="s">
        <v>143</v>
      </c>
      <c r="B24" s="1" t="s">
        <v>11</v>
      </c>
      <c r="C24" s="9" t="s">
        <v>144</v>
      </c>
      <c r="D24" s="9" t="s">
        <v>99</v>
      </c>
      <c r="E24" s="9" t="s">
        <v>145</v>
      </c>
      <c r="F24" s="1" t="s">
        <v>93</v>
      </c>
      <c r="G24" s="12">
        <v>1</v>
      </c>
      <c r="H24" s="13">
        <v>0</v>
      </c>
      <c r="I24" s="14">
        <f t="shared" si="0"/>
        <v>1</v>
      </c>
      <c r="J24" s="15">
        <v>850000</v>
      </c>
      <c r="K24" s="16">
        <f t="shared" si="1"/>
        <v>850000</v>
      </c>
      <c r="L24" s="16">
        <f t="shared" si="2"/>
        <v>850000</v>
      </c>
      <c r="M24" s="9" t="s">
        <v>63</v>
      </c>
      <c r="N24" s="9"/>
      <c r="O24" s="9" t="s">
        <v>146</v>
      </c>
      <c r="P24" s="10" t="s">
        <v>50</v>
      </c>
    </row>
    <row r="25" spans="1:16" ht="39" customHeight="1">
      <c r="A25" s="1" t="s">
        <v>147</v>
      </c>
      <c r="B25" s="1" t="s">
        <v>11</v>
      </c>
      <c r="C25" s="9" t="s">
        <v>148</v>
      </c>
      <c r="D25" s="9" t="s">
        <v>99</v>
      </c>
      <c r="E25" s="9" t="s">
        <v>149</v>
      </c>
      <c r="F25" s="1" t="s">
        <v>93</v>
      </c>
      <c r="G25" s="12">
        <v>2</v>
      </c>
      <c r="H25" s="13">
        <v>0</v>
      </c>
      <c r="I25" s="14">
        <f t="shared" si="0"/>
        <v>2</v>
      </c>
      <c r="J25" s="15">
        <v>230000</v>
      </c>
      <c r="K25" s="16">
        <f t="shared" si="1"/>
        <v>460000</v>
      </c>
      <c r="L25" s="16">
        <f t="shared" si="2"/>
        <v>460000</v>
      </c>
      <c r="M25" s="9" t="s">
        <v>132</v>
      </c>
      <c r="N25" s="9" t="s">
        <v>150</v>
      </c>
      <c r="O25" s="9" t="s">
        <v>151</v>
      </c>
      <c r="P25" s="10" t="s">
        <v>50</v>
      </c>
    </row>
    <row r="26" spans="1:16" ht="39" customHeight="1">
      <c r="A26" s="1" t="s">
        <v>152</v>
      </c>
      <c r="B26" s="1" t="s">
        <v>11</v>
      </c>
      <c r="C26" s="9" t="s">
        <v>153</v>
      </c>
      <c r="D26" s="9" t="s">
        <v>99</v>
      </c>
      <c r="E26" s="9" t="s">
        <v>154</v>
      </c>
      <c r="F26" s="1" t="s">
        <v>93</v>
      </c>
      <c r="G26" s="12">
        <v>1</v>
      </c>
      <c r="H26" s="13">
        <v>0</v>
      </c>
      <c r="I26" s="14">
        <f t="shared" si="0"/>
        <v>1</v>
      </c>
      <c r="J26" s="15">
        <v>424000</v>
      </c>
      <c r="K26" s="16">
        <f t="shared" si="1"/>
        <v>424000</v>
      </c>
      <c r="L26" s="16">
        <f t="shared" si="2"/>
        <v>424000</v>
      </c>
      <c r="M26" s="9" t="s">
        <v>155</v>
      </c>
      <c r="N26" s="9" t="s">
        <v>156</v>
      </c>
      <c r="O26" s="9" t="s">
        <v>157</v>
      </c>
      <c r="P26" s="10" t="s">
        <v>50</v>
      </c>
    </row>
    <row r="27" spans="1:16" ht="39" customHeight="1">
      <c r="A27" s="1" t="s">
        <v>158</v>
      </c>
      <c r="B27" s="1" t="s">
        <v>11</v>
      </c>
      <c r="C27" s="9" t="s">
        <v>159</v>
      </c>
      <c r="D27" s="9" t="s">
        <v>99</v>
      </c>
      <c r="E27" s="9" t="s">
        <v>160</v>
      </c>
      <c r="F27" s="1" t="s">
        <v>120</v>
      </c>
      <c r="G27" s="12">
        <v>1</v>
      </c>
      <c r="H27" s="13">
        <v>0</v>
      </c>
      <c r="I27" s="14">
        <f t="shared" si="0"/>
        <v>1</v>
      </c>
      <c r="J27" s="15">
        <v>270000</v>
      </c>
      <c r="K27" s="16">
        <f t="shared" si="1"/>
        <v>270000</v>
      </c>
      <c r="L27" s="16">
        <f t="shared" si="2"/>
        <v>270000</v>
      </c>
      <c r="M27" s="9" t="s">
        <v>63</v>
      </c>
      <c r="N27" s="9"/>
      <c r="O27" s="9" t="s">
        <v>161</v>
      </c>
      <c r="P27" s="10" t="s">
        <v>50</v>
      </c>
    </row>
    <row r="28" spans="1:16" ht="39" customHeight="1">
      <c r="A28" s="1" t="s">
        <v>162</v>
      </c>
      <c r="B28" s="1" t="s">
        <v>11</v>
      </c>
      <c r="C28" s="9" t="s">
        <v>163</v>
      </c>
      <c r="D28" s="9" t="s">
        <v>99</v>
      </c>
      <c r="E28" s="9" t="s">
        <v>164</v>
      </c>
      <c r="F28" s="1" t="s">
        <v>93</v>
      </c>
      <c r="G28" s="12">
        <v>1</v>
      </c>
      <c r="H28" s="13">
        <v>0</v>
      </c>
      <c r="I28" s="14">
        <f t="shared" si="0"/>
        <v>1</v>
      </c>
      <c r="J28" s="15">
        <v>260000</v>
      </c>
      <c r="K28" s="16">
        <f t="shared" si="1"/>
        <v>260000</v>
      </c>
      <c r="L28" s="16">
        <f t="shared" si="2"/>
        <v>260000</v>
      </c>
      <c r="M28" s="9" t="s">
        <v>63</v>
      </c>
      <c r="N28" s="9"/>
      <c r="O28" s="9" t="s">
        <v>165</v>
      </c>
      <c r="P28" s="10" t="s">
        <v>50</v>
      </c>
    </row>
    <row r="29" spans="1:16" ht="39" customHeight="1">
      <c r="A29" s="1" t="s">
        <v>166</v>
      </c>
      <c r="B29" s="1" t="s">
        <v>11</v>
      </c>
      <c r="C29" s="9" t="s">
        <v>167</v>
      </c>
      <c r="D29" s="9" t="s">
        <v>99</v>
      </c>
      <c r="E29" s="9" t="s">
        <v>168</v>
      </c>
      <c r="F29" s="1" t="s">
        <v>120</v>
      </c>
      <c r="G29" s="12">
        <v>1</v>
      </c>
      <c r="H29" s="13">
        <v>0</v>
      </c>
      <c r="I29" s="14">
        <f t="shared" si="0"/>
        <v>1</v>
      </c>
      <c r="J29" s="15">
        <v>260000</v>
      </c>
      <c r="K29" s="16">
        <f t="shared" si="1"/>
        <v>260000</v>
      </c>
      <c r="L29" s="16">
        <f t="shared" si="2"/>
        <v>260000</v>
      </c>
      <c r="M29" s="9" t="s">
        <v>63</v>
      </c>
      <c r="N29" s="9"/>
      <c r="O29" s="9" t="s">
        <v>169</v>
      </c>
      <c r="P29" s="10" t="s">
        <v>50</v>
      </c>
    </row>
    <row r="30" spans="1:16" ht="39" customHeight="1">
      <c r="A30" s="1" t="s">
        <v>170</v>
      </c>
      <c r="B30" s="1" t="s">
        <v>11</v>
      </c>
      <c r="C30" s="9" t="s">
        <v>171</v>
      </c>
      <c r="D30" s="9" t="s">
        <v>99</v>
      </c>
      <c r="E30" s="9" t="s">
        <v>172</v>
      </c>
      <c r="F30" s="1" t="s">
        <v>93</v>
      </c>
      <c r="G30" s="12">
        <v>1</v>
      </c>
      <c r="H30" s="13">
        <v>0</v>
      </c>
      <c r="I30" s="14">
        <f t="shared" si="0"/>
        <v>1</v>
      </c>
      <c r="J30" s="15">
        <v>350000</v>
      </c>
      <c r="K30" s="16">
        <f t="shared" si="1"/>
        <v>350000</v>
      </c>
      <c r="L30" s="16">
        <f t="shared" si="2"/>
        <v>350000</v>
      </c>
      <c r="M30" s="9" t="s">
        <v>63</v>
      </c>
      <c r="N30" s="9"/>
      <c r="O30" s="9" t="s">
        <v>173</v>
      </c>
      <c r="P30" s="10" t="s">
        <v>50</v>
      </c>
    </row>
    <row r="31" spans="1:16" ht="39" customHeight="1">
      <c r="A31" s="1" t="s">
        <v>174</v>
      </c>
      <c r="B31" s="1" t="s">
        <v>11</v>
      </c>
      <c r="C31" s="9" t="s">
        <v>175</v>
      </c>
      <c r="D31" s="9" t="s">
        <v>99</v>
      </c>
      <c r="E31" s="9" t="s">
        <v>176</v>
      </c>
      <c r="F31" s="1" t="s">
        <v>87</v>
      </c>
      <c r="G31" s="12">
        <v>2</v>
      </c>
      <c r="H31" s="13">
        <v>0</v>
      </c>
      <c r="I31" s="14">
        <f t="shared" si="0"/>
        <v>2</v>
      </c>
      <c r="J31" s="15">
        <v>35000</v>
      </c>
      <c r="K31" s="16">
        <f t="shared" si="1"/>
        <v>70000</v>
      </c>
      <c r="L31" s="16">
        <f t="shared" si="2"/>
        <v>70000</v>
      </c>
      <c r="M31" s="9" t="s">
        <v>63</v>
      </c>
      <c r="N31" s="9"/>
      <c r="O31" s="9" t="s">
        <v>177</v>
      </c>
      <c r="P31" s="10" t="s">
        <v>50</v>
      </c>
    </row>
    <row r="32" spans="1:16" ht="30" customHeight="1">
      <c r="A32" s="3" t="s">
        <v>178</v>
      </c>
      <c r="B32" s="3"/>
      <c r="C32" s="3"/>
      <c r="D32" s="3"/>
      <c r="E32" s="3"/>
      <c r="F32" s="3"/>
      <c r="G32" s="18"/>
      <c r="H32" s="18"/>
      <c r="I32" s="18"/>
      <c r="J32" s="19"/>
      <c r="K32" s="19">
        <f>SUM(K6:K31)</f>
        <v>12323000</v>
      </c>
      <c r="L32" s="19">
        <f>SUM(L6:L31)</f>
        <v>12323000</v>
      </c>
      <c r="M32" s="3"/>
      <c r="N32" s="3"/>
      <c r="O32" s="3"/>
      <c r="P32" s="3"/>
    </row>
    <row r="34" spans="1:16">
      <c r="A34" s="36" t="s">
        <v>179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</row>
  </sheetData>
  <mergeCells count="1">
    <mergeCell ref="A34:P34"/>
  </mergeCells>
  <conditionalFormatting sqref="L6:L31">
    <cfRule type="dataBar" priority="1">
      <dataBar>
        <cfvo type="min"/>
        <cfvo type="max"/>
        <color rgb="FF0B9D91"/>
      </dataBar>
    </cfRule>
    <cfRule type="dataBar" priority="2">
      <dataBar>
        <cfvo type="min"/>
        <cfvo type="max"/>
        <color rgb="FF0B9D91"/>
      </dataBar>
      <extLst>
        <ext xmlns:x14="http://schemas.microsoft.com/office/spreadsheetml/2009/9/main" uri="{B025F937-C7B1-47D3-B67F-A62EFF666E3E}">
          <x14:id>{436EEF25-1BA1-0891-9707-671C906FB6AF}</x14:id>
        </ext>
      </extLst>
    </cfRule>
  </conditionalFormatting>
  <dataValidations count="1">
    <dataValidation type="list" sqref="P6:P31" xr:uid="{00000000-0002-0000-0100-000000000000}">
      <formula1>"Cần xác nhận,Đang hỏi giá,Có báo giá,Đã mua,Có sẵn kho"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6EEF25-1BA1-0891-9707-671C906FB6AF}">
            <x14:dataBar>
              <x14:cfvo type="min"/>
              <x14:cfvo type="max"/>
              <x14:negativeFillColor auto="1"/>
              <x14:axisColor auto="1"/>
            </x14:dataBar>
          </x14:cfRule>
          <xm:sqref>L6:L31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workbookViewId="0"/>
  </sheetViews>
  <sheetFormatPr defaultRowHeight="13.8"/>
  <cols>
    <col min="1" max="1" width="13" customWidth="1"/>
    <col min="2" max="2" width="38" customWidth="1"/>
    <col min="3" max="3" width="14" customWidth="1"/>
    <col min="4" max="4" width="17" customWidth="1"/>
    <col min="5" max="5" width="18" customWidth="1"/>
    <col min="6" max="6" width="16" customWidth="1"/>
    <col min="7" max="7" width="20" customWidth="1"/>
    <col min="8" max="8" width="24" customWidth="1"/>
    <col min="9" max="9" width="22" customWidth="1"/>
    <col min="10" max="10" width="20" customWidth="1"/>
    <col min="11" max="11" width="75" customWidth="1"/>
  </cols>
  <sheetData>
    <row r="1" spans="1:16" ht="17.55" customHeight="1">
      <c r="A1" s="4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7.5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0.85" customHeight="1">
      <c r="A3" s="6" t="s">
        <v>181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5.65" customHeight="1">
      <c r="A5" s="8" t="s">
        <v>182</v>
      </c>
      <c r="B5" s="8" t="s">
        <v>183</v>
      </c>
      <c r="C5" s="8" t="s">
        <v>184</v>
      </c>
      <c r="D5" s="8" t="s">
        <v>185</v>
      </c>
      <c r="E5" s="8" t="s">
        <v>186</v>
      </c>
      <c r="F5" s="8" t="s">
        <v>187</v>
      </c>
      <c r="G5" s="8" t="s">
        <v>188</v>
      </c>
      <c r="H5" s="8" t="s">
        <v>189</v>
      </c>
      <c r="I5" s="8" t="s">
        <v>190</v>
      </c>
      <c r="J5" s="8" t="s">
        <v>191</v>
      </c>
      <c r="K5" s="8" t="s">
        <v>192</v>
      </c>
      <c r="L5" s="1"/>
      <c r="M5" s="1"/>
      <c r="N5" s="1"/>
      <c r="O5" s="1"/>
      <c r="P5" s="1"/>
    </row>
    <row r="6" spans="1:16" ht="24" customHeight="1">
      <c r="A6" s="1" t="s">
        <v>193</v>
      </c>
      <c r="B6" s="1" t="s">
        <v>194</v>
      </c>
      <c r="C6" s="1">
        <v>1</v>
      </c>
      <c r="D6" s="1">
        <v>800</v>
      </c>
      <c r="E6" s="1">
        <v>520</v>
      </c>
      <c r="F6" s="1">
        <v>3</v>
      </c>
      <c r="G6" s="1" t="s">
        <v>195</v>
      </c>
      <c r="H6" s="32">
        <f t="shared" ref="H6:H12" si="0">C6*D6*E6/1000000</f>
        <v>0.41599999999999998</v>
      </c>
      <c r="I6" s="34">
        <f t="shared" ref="I6:I12" si="1">H6*F6*J6</f>
        <v>3.3446400000000001</v>
      </c>
      <c r="J6" s="1">
        <v>2.68</v>
      </c>
      <c r="K6" s="1" t="s">
        <v>196</v>
      </c>
      <c r="L6" s="1"/>
      <c r="M6" s="1"/>
      <c r="N6" s="1"/>
      <c r="O6" s="1"/>
      <c r="P6" s="1"/>
    </row>
    <row r="7" spans="1:16" ht="24" customHeight="1">
      <c r="A7" s="1" t="s">
        <v>197</v>
      </c>
      <c r="B7" s="1" t="s">
        <v>198</v>
      </c>
      <c r="C7" s="1">
        <v>1</v>
      </c>
      <c r="D7" s="1">
        <v>800</v>
      </c>
      <c r="E7" s="1">
        <v>520</v>
      </c>
      <c r="F7" s="1">
        <v>3</v>
      </c>
      <c r="G7" s="1" t="s">
        <v>195</v>
      </c>
      <c r="H7" s="32">
        <f t="shared" si="0"/>
        <v>0.41599999999999998</v>
      </c>
      <c r="I7" s="34">
        <f t="shared" si="1"/>
        <v>3.3446400000000001</v>
      </c>
      <c r="J7" s="1">
        <v>2.68</v>
      </c>
      <c r="K7" s="1" t="s">
        <v>199</v>
      </c>
      <c r="L7" s="1"/>
      <c r="M7" s="1"/>
      <c r="N7" s="1"/>
      <c r="O7" s="1"/>
      <c r="P7" s="1"/>
    </row>
    <row r="8" spans="1:16" ht="24" customHeight="1">
      <c r="A8" s="1" t="s">
        <v>200</v>
      </c>
      <c r="B8" s="1" t="s">
        <v>201</v>
      </c>
      <c r="C8" s="1">
        <v>2</v>
      </c>
      <c r="D8" s="1">
        <v>800</v>
      </c>
      <c r="E8" s="1">
        <v>554</v>
      </c>
      <c r="F8" s="1">
        <v>3</v>
      </c>
      <c r="G8" s="1" t="s">
        <v>195</v>
      </c>
      <c r="H8" s="32">
        <f t="shared" si="0"/>
        <v>0.88639999999999997</v>
      </c>
      <c r="I8" s="34">
        <f t="shared" si="1"/>
        <v>7.1266559999999997</v>
      </c>
      <c r="J8" s="1">
        <v>2.68</v>
      </c>
      <c r="K8" s="1" t="s">
        <v>202</v>
      </c>
      <c r="L8" s="1"/>
      <c r="M8" s="1"/>
      <c r="N8" s="1"/>
      <c r="O8" s="1"/>
      <c r="P8" s="1"/>
    </row>
    <row r="9" spans="1:16" ht="24" customHeight="1">
      <c r="A9" s="1" t="s">
        <v>203</v>
      </c>
      <c r="B9" s="1" t="s">
        <v>204</v>
      </c>
      <c r="C9" s="1">
        <v>2</v>
      </c>
      <c r="D9" s="1">
        <v>520</v>
      </c>
      <c r="E9" s="1">
        <v>554</v>
      </c>
      <c r="F9" s="1">
        <v>3</v>
      </c>
      <c r="G9" s="1" t="s">
        <v>195</v>
      </c>
      <c r="H9" s="32">
        <f t="shared" si="0"/>
        <v>0.57616000000000001</v>
      </c>
      <c r="I9" s="34">
        <f t="shared" si="1"/>
        <v>4.6323264000000002</v>
      </c>
      <c r="J9" s="1">
        <v>2.68</v>
      </c>
      <c r="K9" s="1" t="s">
        <v>205</v>
      </c>
      <c r="L9" s="1"/>
      <c r="M9" s="1"/>
      <c r="N9" s="1"/>
      <c r="O9" s="1"/>
      <c r="P9" s="1"/>
    </row>
    <row r="10" spans="1:16" ht="24" customHeight="1">
      <c r="A10" s="1" t="s">
        <v>53</v>
      </c>
      <c r="B10" s="1" t="s">
        <v>206</v>
      </c>
      <c r="C10" s="1">
        <v>2</v>
      </c>
      <c r="D10" s="1">
        <v>430</v>
      </c>
      <c r="E10" s="1">
        <v>360</v>
      </c>
      <c r="F10" s="1">
        <v>4</v>
      </c>
      <c r="G10" s="1" t="s">
        <v>195</v>
      </c>
      <c r="H10" s="32">
        <f t="shared" si="0"/>
        <v>0.30959999999999999</v>
      </c>
      <c r="I10" s="34">
        <f t="shared" si="1"/>
        <v>3.3189120000000001</v>
      </c>
      <c r="J10" s="1">
        <v>2.68</v>
      </c>
      <c r="K10" s="1" t="s">
        <v>207</v>
      </c>
      <c r="L10" s="1"/>
      <c r="M10" s="1"/>
      <c r="N10" s="1"/>
      <c r="O10" s="1"/>
      <c r="P10" s="1"/>
    </row>
    <row r="11" spans="1:16" ht="24" customHeight="1">
      <c r="A11" s="1" t="s">
        <v>67</v>
      </c>
      <c r="B11" s="1" t="s">
        <v>208</v>
      </c>
      <c r="C11" s="1">
        <v>8</v>
      </c>
      <c r="D11" s="1">
        <v>62</v>
      </c>
      <c r="E11" s="1">
        <v>79</v>
      </c>
      <c r="F11" s="1">
        <v>5</v>
      </c>
      <c r="G11" s="1" t="s">
        <v>209</v>
      </c>
      <c r="H11" s="32">
        <f t="shared" si="0"/>
        <v>3.9183999999999997E-2</v>
      </c>
      <c r="I11" s="34">
        <f t="shared" si="1"/>
        <v>1.5379719999999999</v>
      </c>
      <c r="J11" s="1">
        <v>7.85</v>
      </c>
      <c r="K11" s="1" t="s">
        <v>210</v>
      </c>
      <c r="L11" s="1"/>
      <c r="M11" s="1"/>
      <c r="N11" s="1"/>
      <c r="O11" s="1"/>
      <c r="P11" s="1"/>
    </row>
    <row r="12" spans="1:16" ht="24" customHeight="1">
      <c r="A12" s="1" t="s">
        <v>73</v>
      </c>
      <c r="B12" s="1" t="s">
        <v>211</v>
      </c>
      <c r="C12" s="1">
        <v>2</v>
      </c>
      <c r="D12" s="1">
        <v>48</v>
      </c>
      <c r="E12" s="1">
        <v>108</v>
      </c>
      <c r="F12" s="1">
        <v>6</v>
      </c>
      <c r="G12" s="1" t="s">
        <v>209</v>
      </c>
      <c r="H12" s="32">
        <f t="shared" si="0"/>
        <v>1.0368E-2</v>
      </c>
      <c r="I12" s="34">
        <f t="shared" si="1"/>
        <v>0.48833279999999996</v>
      </c>
      <c r="J12" s="1">
        <v>7.85</v>
      </c>
      <c r="K12" s="1" t="s">
        <v>212</v>
      </c>
      <c r="L12" s="1"/>
      <c r="M12" s="1"/>
      <c r="N12" s="1"/>
      <c r="O12" s="1"/>
      <c r="P12" s="1"/>
    </row>
    <row r="13" spans="1:16" ht="14.4">
      <c r="A13" s="1"/>
      <c r="B13" s="1"/>
      <c r="C13" s="1"/>
      <c r="D13" s="1"/>
      <c r="E13" s="1"/>
      <c r="F13" s="1"/>
      <c r="G13" s="1"/>
      <c r="H13" s="32"/>
      <c r="I13" s="34"/>
      <c r="J13" s="1"/>
      <c r="K13" s="1"/>
      <c r="L13" s="1"/>
      <c r="M13" s="1"/>
      <c r="N13" s="1"/>
      <c r="O13" s="1"/>
      <c r="P13" s="1"/>
    </row>
    <row r="14" spans="1:16" ht="14.4">
      <c r="A14" s="1"/>
      <c r="B14" s="1"/>
      <c r="C14" s="1"/>
      <c r="D14" s="1"/>
      <c r="E14" s="1"/>
      <c r="F14" s="1"/>
      <c r="G14" s="1"/>
      <c r="H14" s="32"/>
      <c r="I14" s="34"/>
      <c r="J14" s="1"/>
      <c r="K14" s="1"/>
      <c r="L14" s="1"/>
      <c r="M14" s="1"/>
      <c r="N14" s="1"/>
      <c r="O14" s="1"/>
      <c r="P14" s="1"/>
    </row>
    <row r="15" spans="1:16" ht="14.4">
      <c r="A15" s="31" t="s">
        <v>213</v>
      </c>
      <c r="B15" s="31"/>
      <c r="C15" s="31"/>
      <c r="D15" s="31"/>
      <c r="E15" s="31"/>
      <c r="F15" s="31"/>
      <c r="G15" s="31"/>
      <c r="H15" s="33">
        <f>SUM(H6:H12)</f>
        <v>2.6537120000000001</v>
      </c>
      <c r="I15" s="35">
        <f>SUM(I6:I12)</f>
        <v>23.7934792</v>
      </c>
      <c r="J15" s="31"/>
      <c r="K15" s="31"/>
      <c r="L15" s="1"/>
      <c r="M15" s="1"/>
      <c r="N15" s="1"/>
      <c r="O15" s="1"/>
      <c r="P15" s="1"/>
    </row>
    <row r="16" spans="1:1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4">
      <c r="A18" s="24" t="s">
        <v>214</v>
      </c>
      <c r="B18" s="23"/>
      <c r="C18" s="23"/>
      <c r="D18" s="23"/>
      <c r="E18" s="23"/>
      <c r="F18" s="23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4">
      <c r="A19" s="20" t="s">
        <v>182</v>
      </c>
      <c r="B19" s="20" t="s">
        <v>215</v>
      </c>
      <c r="C19" s="20" t="s">
        <v>216</v>
      </c>
      <c r="D19" s="20" t="s">
        <v>217</v>
      </c>
      <c r="E19" s="20" t="s">
        <v>218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4">
      <c r="A20" s="1" t="s">
        <v>219</v>
      </c>
      <c r="B20" s="1" t="s">
        <v>220</v>
      </c>
      <c r="C20" s="1">
        <v>4</v>
      </c>
      <c r="D20" s="1">
        <v>880</v>
      </c>
      <c r="E20" s="1">
        <f>C20*D20</f>
        <v>3520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4">
      <c r="A21" s="1" t="s">
        <v>221</v>
      </c>
      <c r="B21" s="1" t="s">
        <v>222</v>
      </c>
      <c r="C21" s="1">
        <v>2</v>
      </c>
      <c r="D21" s="1">
        <v>500</v>
      </c>
      <c r="E21" s="1">
        <f>C21*D21</f>
        <v>1000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4">
      <c r="A22" s="5" t="s">
        <v>223</v>
      </c>
      <c r="B22" s="5"/>
      <c r="C22" s="5"/>
      <c r="D22" s="5"/>
      <c r="E22" s="5">
        <f>SUM(E20:E21)/1000</f>
        <v>4.5199999999999996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">
      <c r="A23" s="5" t="s">
        <v>224</v>
      </c>
      <c r="B23" s="5"/>
      <c r="C23" s="5"/>
      <c r="D23" s="5"/>
      <c r="E23" s="5">
        <f>6</f>
        <v>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4">
      <c r="A24" s="5" t="s">
        <v>225</v>
      </c>
      <c r="B24" s="5"/>
      <c r="C24" s="5"/>
      <c r="D24" s="5"/>
      <c r="E24" s="5">
        <f>E23-E22</f>
        <v>1.4800000000000004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4" customHeight="1">
      <c r="A27" s="10" t="s">
        <v>226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"/>
      <c r="M27" s="1"/>
      <c r="N27" s="1"/>
      <c r="O27" s="1"/>
      <c r="P27" s="1"/>
    </row>
    <row r="28" spans="1:16" ht="24" customHeight="1">
      <c r="A28" s="10" t="s">
        <v>227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"/>
      <c r="M28" s="1"/>
      <c r="N28" s="1"/>
      <c r="O28" s="1"/>
      <c r="P28" s="1"/>
    </row>
    <row r="29" spans="1:1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workbookViewId="0"/>
  </sheetViews>
  <sheetFormatPr defaultRowHeight="13.8"/>
  <cols>
    <col min="1" max="1" width="8" customWidth="1"/>
    <col min="2" max="2" width="36" customWidth="1"/>
    <col min="3" max="3" width="31" customWidth="1"/>
    <col min="4" max="4" width="56" customWidth="1"/>
    <col min="5" max="5" width="80" customWidth="1"/>
    <col min="6" max="6" width="70" customWidth="1"/>
  </cols>
  <sheetData>
    <row r="1" spans="1:16" ht="17.55" customHeight="1">
      <c r="A1" s="4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7.5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0.85" customHeight="1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25.65" customHeight="1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43.95" customHeight="1">
      <c r="A5" s="1">
        <v>1</v>
      </c>
      <c r="B5" s="9" t="s">
        <v>235</v>
      </c>
      <c r="C5" s="9" t="s">
        <v>236</v>
      </c>
      <c r="D5" s="9" t="s">
        <v>237</v>
      </c>
      <c r="E5" s="9" t="s">
        <v>48</v>
      </c>
      <c r="F5" s="9" t="s">
        <v>238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43.95" customHeight="1">
      <c r="A6" s="1">
        <v>2</v>
      </c>
      <c r="B6" s="9" t="s">
        <v>239</v>
      </c>
      <c r="C6" s="9" t="s">
        <v>236</v>
      </c>
      <c r="D6" s="9" t="s">
        <v>240</v>
      </c>
      <c r="E6" s="9" t="s">
        <v>48</v>
      </c>
      <c r="F6" s="9" t="s">
        <v>241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43.95" customHeight="1">
      <c r="A7" s="1">
        <v>3</v>
      </c>
      <c r="B7" s="9" t="s">
        <v>242</v>
      </c>
      <c r="C7" s="9" t="s">
        <v>243</v>
      </c>
      <c r="D7" s="9" t="s">
        <v>244</v>
      </c>
      <c r="E7" s="9" t="s">
        <v>81</v>
      </c>
      <c r="F7" s="9" t="s">
        <v>245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43.95" customHeight="1">
      <c r="A8" s="1">
        <v>4</v>
      </c>
      <c r="B8" s="9" t="s">
        <v>246</v>
      </c>
      <c r="C8" s="9" t="s">
        <v>247</v>
      </c>
      <c r="D8" s="9" t="s">
        <v>248</v>
      </c>
      <c r="E8" s="9" t="s">
        <v>95</v>
      </c>
      <c r="F8" s="9" t="s">
        <v>249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43.95" customHeight="1">
      <c r="A9" s="1">
        <v>5</v>
      </c>
      <c r="B9" s="9" t="s">
        <v>250</v>
      </c>
      <c r="C9" s="9" t="s">
        <v>251</v>
      </c>
      <c r="D9" s="9" t="s">
        <v>252</v>
      </c>
      <c r="E9" s="9" t="s">
        <v>156</v>
      </c>
      <c r="F9" s="9" t="s">
        <v>253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43.95" customHeight="1">
      <c r="A10" s="1">
        <v>6</v>
      </c>
      <c r="B10" s="9" t="s">
        <v>254</v>
      </c>
      <c r="C10" s="9" t="s">
        <v>255</v>
      </c>
      <c r="D10" s="9" t="s">
        <v>256</v>
      </c>
      <c r="E10" s="9" t="s">
        <v>150</v>
      </c>
      <c r="F10" s="9" t="s">
        <v>257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43.95" customHeight="1">
      <c r="A11" s="1">
        <v>7</v>
      </c>
      <c r="B11" s="9" t="s">
        <v>258</v>
      </c>
      <c r="C11" s="9" t="s">
        <v>259</v>
      </c>
      <c r="D11" s="9" t="s">
        <v>260</v>
      </c>
      <c r="E11" s="9" t="s">
        <v>133</v>
      </c>
      <c r="F11" s="9" t="s">
        <v>261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43.95" customHeight="1">
      <c r="A12" s="1">
        <v>8</v>
      </c>
      <c r="B12" s="9" t="s">
        <v>262</v>
      </c>
      <c r="C12" s="9" t="s">
        <v>263</v>
      </c>
      <c r="D12" s="9" t="s">
        <v>264</v>
      </c>
      <c r="E12" s="9"/>
      <c r="F12" s="9" t="s">
        <v>265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43.95" customHeight="1">
      <c r="A13" s="1">
        <v>9</v>
      </c>
      <c r="B13" s="9" t="s">
        <v>266</v>
      </c>
      <c r="C13" s="9" t="s">
        <v>263</v>
      </c>
      <c r="D13" s="9" t="s">
        <v>267</v>
      </c>
      <c r="E13" s="9"/>
      <c r="F13" s="9" t="s">
        <v>268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31.95" customHeight="1">
      <c r="A16" s="30" t="s">
        <v>269</v>
      </c>
      <c r="B16" s="30"/>
      <c r="C16" s="30"/>
      <c r="D16" s="30"/>
      <c r="E16" s="30"/>
      <c r="F16" s="30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4">
      <c r="A17" s="9"/>
      <c r="B17" s="9"/>
      <c r="C17" s="9"/>
      <c r="D17" s="9"/>
      <c r="E17" s="9"/>
      <c r="F17" s="9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31.95" customHeight="1">
      <c r="A18" s="10" t="s">
        <v>270</v>
      </c>
      <c r="B18" s="10"/>
      <c r="C18" s="10"/>
      <c r="D18" s="10"/>
      <c r="E18" s="10"/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31.95" customHeight="1">
      <c r="A19" s="10" t="s">
        <v>271</v>
      </c>
      <c r="B19" s="10"/>
      <c r="C19" s="10"/>
      <c r="D19" s="10"/>
      <c r="E19" s="10"/>
      <c r="F19" s="10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01_TONG_QUAN</vt:lpstr>
      <vt:lpstr>02_BOM_VAT_TU</vt:lpstr>
      <vt:lpstr>03_CAT_VAT_LIEU</vt:lpstr>
      <vt:lpstr>04_NGUON_GIA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 Van</cp:lastModifiedBy>
  <dcterms:modified xsi:type="dcterms:W3CDTF">2026-10-10T03:47:06Z</dcterms:modified>
</cp:coreProperties>
</file>