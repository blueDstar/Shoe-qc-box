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Cat nh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1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48" customWidth="1" min="4" max="4"/>
    <col width="18" customWidth="1" min="5" max="5"/>
    <col width="6" customWidth="1" min="6" max="6"/>
    <col width="7" customWidth="1" min="7" max="7"/>
    <col width="12" customWidth="1" min="8" max="8"/>
    <col width="14" customWidth="1" min="9" max="9"/>
    <col width="16" customWidth="1" min="10" max="10"/>
    <col width="46" customWidth="1" min="11" max="11"/>
  </cols>
  <sheetData>
    <row r="1">
      <c r="A1" s="1" t="inlineStr">
        <is>
          <t>BOM &amp; DỰ TOÁN – BUỒNG SÁNG QC GIÀY (2 cửa, khung nhôm 2020, tấm in 3D)</t>
        </is>
      </c>
    </row>
    <row r="2">
      <c r="A2" t="inlineStr">
        <is>
          <t>Giá là ước tính tham khảo thị trường VN (10/2026), chưa VAT, có thể sai lệch ±25%.</t>
        </is>
      </c>
    </row>
    <row r="4">
      <c r="A4" s="2" t="inlineStr">
        <is>
          <t>STT</t>
        </is>
      </c>
      <c r="B4" s="2" t="inlineStr">
        <is>
          <t>Nhóm</t>
        </is>
      </c>
      <c r="C4" s="2" t="inlineStr">
        <is>
          <t>Mã / SKU</t>
        </is>
      </c>
      <c r="D4" s="2" t="inlineStr">
        <is>
          <t>Tên chi tiết</t>
        </is>
      </c>
      <c r="E4" s="2" t="inlineStr">
        <is>
          <t>Vật liệu</t>
        </is>
      </c>
      <c r="F4" s="2" t="inlineStr">
        <is>
          <t>SL</t>
        </is>
      </c>
      <c r="G4" s="2" t="inlineStr">
        <is>
          <t>ĐVT</t>
        </is>
      </c>
      <c r="H4" s="2" t="inlineStr">
        <is>
          <t>Khối lượng in (g/chi tiết)</t>
        </is>
      </c>
      <c r="I4" s="2" t="inlineStr">
        <is>
          <t>Đơn giá (VND)</t>
        </is>
      </c>
      <c r="J4" s="2" t="inlineStr">
        <is>
          <t>Thành tiền (VND)</t>
        </is>
      </c>
      <c r="K4" s="2" t="inlineStr">
        <is>
          <t>Ghi chú</t>
        </is>
      </c>
    </row>
    <row r="5">
      <c r="A5" t="n">
        <v>1</v>
      </c>
      <c r="B5" t="inlineStr">
        <is>
          <t>Khung nhôm</t>
        </is>
      </c>
      <c r="C5" t="inlineStr">
        <is>
          <t>2020-L57</t>
        </is>
      </c>
      <c r="D5" t="inlineStr">
        <is>
          <t>Thanh nhôm 2020 T-slot đen anod, cắt L=57 mm</t>
        </is>
      </c>
      <c r="E5" t="inlineStr">
        <is>
          <t>Al 6063</t>
        </is>
      </c>
      <c r="F5" t="n">
        <v>8</v>
      </c>
      <c r="G5" t="inlineStr">
        <is>
          <t>thanh</t>
        </is>
      </c>
      <c r="H5" s="3" t="n"/>
      <c r="I5" s="4" t="n">
        <v>14000</v>
      </c>
      <c r="J5" s="4">
        <f>F5*I5</f>
        <v/>
      </c>
      <c r="K5" t="inlineStr">
        <is>
          <t>110k/m + công cắt 8k</t>
        </is>
      </c>
    </row>
    <row r="6">
      <c r="A6" t="n">
        <v>2</v>
      </c>
      <c r="B6" t="inlineStr">
        <is>
          <t>Khung nhôm</t>
        </is>
      </c>
      <c r="C6" t="inlineStr">
        <is>
          <t>2020-L82</t>
        </is>
      </c>
      <c r="D6" t="inlineStr">
        <is>
          <t>Thanh nhôm 2020 T-slot đen anod, cắt L=82 mm</t>
        </is>
      </c>
      <c r="E6" t="inlineStr">
        <is>
          <t>Al 6063</t>
        </is>
      </c>
      <c r="F6" t="n">
        <v>1</v>
      </c>
      <c r="G6" t="inlineStr">
        <is>
          <t>thanh</t>
        </is>
      </c>
      <c r="H6" s="3" t="n"/>
      <c r="I6" s="4" t="n">
        <v>17000</v>
      </c>
      <c r="J6" s="4">
        <f>F6*I6</f>
        <v/>
      </c>
      <c r="K6" t="inlineStr">
        <is>
          <t>110k/m + công cắt 8k</t>
        </is>
      </c>
    </row>
    <row r="7">
      <c r="A7" t="n">
        <v>3</v>
      </c>
      <c r="B7" t="inlineStr">
        <is>
          <t>Khung nhôm</t>
        </is>
      </c>
      <c r="C7" t="inlineStr">
        <is>
          <t>2020-L151</t>
        </is>
      </c>
      <c r="D7" t="inlineStr">
        <is>
          <t>Thanh nhôm 2020 T-slot đen anod, cắt L=151 mm</t>
        </is>
      </c>
      <c r="E7" t="inlineStr">
        <is>
          <t>Al 6063</t>
        </is>
      </c>
      <c r="F7" t="n">
        <v>2</v>
      </c>
      <c r="G7" t="inlineStr">
        <is>
          <t>thanh</t>
        </is>
      </c>
      <c r="H7" s="3" t="n"/>
      <c r="I7" s="4" t="n">
        <v>25000</v>
      </c>
      <c r="J7" s="4">
        <f>F7*I7</f>
        <v/>
      </c>
      <c r="K7" t="inlineStr">
        <is>
          <t>110k/m + công cắt 8k</t>
        </is>
      </c>
    </row>
    <row r="8">
      <c r="A8" t="n">
        <v>4</v>
      </c>
      <c r="B8" t="inlineStr">
        <is>
          <t>Khung nhôm</t>
        </is>
      </c>
      <c r="C8" t="inlineStr">
        <is>
          <t>2020-L152</t>
        </is>
      </c>
      <c r="D8" t="inlineStr">
        <is>
          <t>Thanh nhôm 2020 T-slot đen anod, cắt L=152 mm</t>
        </is>
      </c>
      <c r="E8" t="inlineStr">
        <is>
          <t>Al 6063</t>
        </is>
      </c>
      <c r="F8" t="n">
        <v>2</v>
      </c>
      <c r="G8" t="inlineStr">
        <is>
          <t>thanh</t>
        </is>
      </c>
      <c r="H8" s="3" t="n"/>
      <c r="I8" s="4" t="n">
        <v>25000</v>
      </c>
      <c r="J8" s="4">
        <f>F8*I8</f>
        <v/>
      </c>
      <c r="K8" t="inlineStr">
        <is>
          <t>110k/m + công cắt 8k</t>
        </is>
      </c>
    </row>
    <row r="9">
      <c r="A9" t="n">
        <v>5</v>
      </c>
      <c r="B9" t="inlineStr">
        <is>
          <t>Khung nhôm</t>
        </is>
      </c>
      <c r="C9" t="inlineStr">
        <is>
          <t>2020-L163</t>
        </is>
      </c>
      <c r="D9" t="inlineStr">
        <is>
          <t>Thanh nhôm 2020 T-slot đen anod, cắt L=163 mm</t>
        </is>
      </c>
      <c r="E9" t="inlineStr">
        <is>
          <t>Al 6063</t>
        </is>
      </c>
      <c r="F9" t="n">
        <v>2</v>
      </c>
      <c r="G9" t="inlineStr">
        <is>
          <t>thanh</t>
        </is>
      </c>
      <c r="H9" s="3" t="n"/>
      <c r="I9" s="4" t="n">
        <v>26000</v>
      </c>
      <c r="J9" s="4">
        <f>F9*I9</f>
        <v/>
      </c>
      <c r="K9" t="inlineStr">
        <is>
          <t>110k/m + công cắt 8k</t>
        </is>
      </c>
    </row>
    <row r="10">
      <c r="A10" t="n">
        <v>6</v>
      </c>
      <c r="B10" t="inlineStr">
        <is>
          <t>Khung nhôm</t>
        </is>
      </c>
      <c r="C10" t="inlineStr">
        <is>
          <t>2020-L202</t>
        </is>
      </c>
      <c r="D10" t="inlineStr">
        <is>
          <t>Thanh nhôm 2020 T-slot đen anod, cắt L=202 mm</t>
        </is>
      </c>
      <c r="E10" t="inlineStr">
        <is>
          <t>Al 6063</t>
        </is>
      </c>
      <c r="F10" t="n">
        <v>5</v>
      </c>
      <c r="G10" t="inlineStr">
        <is>
          <t>thanh</t>
        </is>
      </c>
      <c r="H10" s="3" t="n"/>
      <c r="I10" s="4" t="n">
        <v>30000</v>
      </c>
      <c r="J10" s="4">
        <f>F10*I10</f>
        <v/>
      </c>
      <c r="K10" t="inlineStr">
        <is>
          <t>110k/m + công cắt 8k</t>
        </is>
      </c>
    </row>
    <row r="11">
      <c r="A11" t="n">
        <v>7</v>
      </c>
      <c r="B11" t="inlineStr">
        <is>
          <t>Khung nhôm</t>
        </is>
      </c>
      <c r="C11" t="inlineStr">
        <is>
          <t>2020-L223</t>
        </is>
      </c>
      <c r="D11" t="inlineStr">
        <is>
          <t>Thanh nhôm 2020 T-slot đen anod, cắt L=223 mm</t>
        </is>
      </c>
      <c r="E11" t="inlineStr">
        <is>
          <t>Al 6063</t>
        </is>
      </c>
      <c r="F11" t="n">
        <v>2</v>
      </c>
      <c r="G11" t="inlineStr">
        <is>
          <t>thanh</t>
        </is>
      </c>
      <c r="H11" s="3" t="n"/>
      <c r="I11" s="4" t="n">
        <v>33000</v>
      </c>
      <c r="J11" s="4">
        <f>F11*I11</f>
        <v/>
      </c>
      <c r="K11" t="inlineStr">
        <is>
          <t>110k/m + công cắt 8k</t>
        </is>
      </c>
    </row>
    <row r="12">
      <c r="A12" t="n">
        <v>8</v>
      </c>
      <c r="B12" t="inlineStr">
        <is>
          <t>Khung nhôm</t>
        </is>
      </c>
      <c r="C12" t="inlineStr">
        <is>
          <t>2020-L303</t>
        </is>
      </c>
      <c r="D12" t="inlineStr">
        <is>
          <t>Thanh nhôm 2020 T-slot đen anod, cắt L=303 mm</t>
        </is>
      </c>
      <c r="E12" t="inlineStr">
        <is>
          <t>Al 6063</t>
        </is>
      </c>
      <c r="F12" t="n">
        <v>4</v>
      </c>
      <c r="G12" t="inlineStr">
        <is>
          <t>thanh</t>
        </is>
      </c>
      <c r="H12" s="3" t="n"/>
      <c r="I12" s="4" t="n">
        <v>41000</v>
      </c>
      <c r="J12" s="4">
        <f>F12*I12</f>
        <v/>
      </c>
      <c r="K12" t="inlineStr">
        <is>
          <t>110k/m + công cắt 8k</t>
        </is>
      </c>
    </row>
    <row r="13">
      <c r="A13" t="n">
        <v>9</v>
      </c>
      <c r="B13" t="inlineStr">
        <is>
          <t>Khung nhôm</t>
        </is>
      </c>
      <c r="C13" t="inlineStr">
        <is>
          <t>2020-L400</t>
        </is>
      </c>
      <c r="D13" t="inlineStr">
        <is>
          <t>Thanh nhôm 2020 T-slot đen anod, cắt L=400 mm</t>
        </is>
      </c>
      <c r="E13" t="inlineStr">
        <is>
          <t>Al 6063</t>
        </is>
      </c>
      <c r="F13" t="n">
        <v>2</v>
      </c>
      <c r="G13" t="inlineStr">
        <is>
          <t>thanh</t>
        </is>
      </c>
      <c r="H13" s="3" t="n"/>
      <c r="I13" s="4" t="n">
        <v>52000</v>
      </c>
      <c r="J13" s="4">
        <f>F13*I13</f>
        <v/>
      </c>
      <c r="K13" t="inlineStr">
        <is>
          <t>110k/m + công cắt 8k</t>
        </is>
      </c>
    </row>
    <row r="14">
      <c r="A14" t="n">
        <v>10</v>
      </c>
      <c r="B14" t="inlineStr">
        <is>
          <t>Khung nhôm</t>
        </is>
      </c>
      <c r="C14" t="inlineStr">
        <is>
          <t>2020-L466</t>
        </is>
      </c>
      <c r="D14" t="inlineStr">
        <is>
          <t>Thanh nhôm 2020 T-slot đen anod, cắt L=466 mm</t>
        </is>
      </c>
      <c r="E14" t="inlineStr">
        <is>
          <t>Al 6063</t>
        </is>
      </c>
      <c r="F14" t="n">
        <v>16</v>
      </c>
      <c r="G14" t="inlineStr">
        <is>
          <t>thanh</t>
        </is>
      </c>
      <c r="H14" s="3" t="n"/>
      <c r="I14" s="4" t="n">
        <v>59000</v>
      </c>
      <c r="J14" s="4">
        <f>F14*I14</f>
        <v/>
      </c>
      <c r="K14" t="inlineStr">
        <is>
          <t>110k/m + công cắt 8k</t>
        </is>
      </c>
    </row>
    <row r="15">
      <c r="A15" t="n">
        <v>11</v>
      </c>
      <c r="B15" t="inlineStr">
        <is>
          <t>Khung nhôm</t>
        </is>
      </c>
      <c r="C15" t="inlineStr">
        <is>
          <t>2020-L506</t>
        </is>
      </c>
      <c r="D15" t="inlineStr">
        <is>
          <t>Thanh nhôm 2020 T-slot đen anod, cắt L=506 mm</t>
        </is>
      </c>
      <c r="E15" t="inlineStr">
        <is>
          <t>Al 6063</t>
        </is>
      </c>
      <c r="F15" t="n">
        <v>4</v>
      </c>
      <c r="G15" t="inlineStr">
        <is>
          <t>thanh</t>
        </is>
      </c>
      <c r="H15" s="3" t="n"/>
      <c r="I15" s="4" t="n">
        <v>64000</v>
      </c>
      <c r="J15" s="4">
        <f>F15*I15</f>
        <v/>
      </c>
      <c r="K15" t="inlineStr">
        <is>
          <t>110k/m + công cắt 8k</t>
        </is>
      </c>
    </row>
    <row r="16">
      <c r="A16" t="n">
        <v>12</v>
      </c>
      <c r="B16" t="inlineStr">
        <is>
          <t>Khung nhôm</t>
        </is>
      </c>
      <c r="C16" t="inlineStr">
        <is>
          <t>2020-L646</t>
        </is>
      </c>
      <c r="D16" t="inlineStr">
        <is>
          <t>Thanh nhôm 2020 T-slot đen anod, cắt L=646 mm</t>
        </is>
      </c>
      <c r="E16" t="inlineStr">
        <is>
          <t>Al 6063</t>
        </is>
      </c>
      <c r="F16" t="n">
        <v>4</v>
      </c>
      <c r="G16" t="inlineStr">
        <is>
          <t>thanh</t>
        </is>
      </c>
      <c r="H16" s="3" t="n"/>
      <c r="I16" s="4" t="n">
        <v>79000</v>
      </c>
      <c r="J16" s="4">
        <f>F16*I16</f>
        <v/>
      </c>
      <c r="K16" t="inlineStr">
        <is>
          <t>110k/m + công cắt 8k</t>
        </is>
      </c>
    </row>
    <row r="17">
      <c r="A17" t="n">
        <v>13</v>
      </c>
      <c r="B17" t="inlineStr">
        <is>
          <t>Khung nhôm</t>
        </is>
      </c>
      <c r="C17" t="inlineStr">
        <is>
          <t>2020-L720</t>
        </is>
      </c>
      <c r="D17" t="inlineStr">
        <is>
          <t>Thanh nhôm 2020 T-slot đen anod, cắt L=720 mm</t>
        </is>
      </c>
      <c r="E17" t="inlineStr">
        <is>
          <t>Al 6063</t>
        </is>
      </c>
      <c r="F17" t="n">
        <v>4</v>
      </c>
      <c r="G17" t="inlineStr">
        <is>
          <t>thanh</t>
        </is>
      </c>
      <c r="H17" s="3" t="n"/>
      <c r="I17" s="4" t="n">
        <v>87000</v>
      </c>
      <c r="J17" s="4">
        <f>F17*I17</f>
        <v/>
      </c>
      <c r="K17" t="inlineStr">
        <is>
          <t>110k/m + công cắt 8k</t>
        </is>
      </c>
    </row>
    <row r="18">
      <c r="A18" t="n">
        <v>14</v>
      </c>
      <c r="B18" t="inlineStr">
        <is>
          <t>Tấm in 3D</t>
        </is>
      </c>
      <c r="C18" t="inlineStr">
        <is>
          <t>TILE-223x199</t>
        </is>
      </c>
      <c r="D18" t="inlineStr">
        <is>
          <t>Tile 223x199</t>
        </is>
      </c>
      <c r="E18" t="inlineStr">
        <is>
          <t>PETG-CF / ASA</t>
        </is>
      </c>
      <c r="F18" t="n">
        <v>6</v>
      </c>
      <c r="G18" t="inlineStr">
        <is>
          <t>cái</t>
        </is>
      </c>
      <c r="H18" s="3" t="n">
        <v>119</v>
      </c>
      <c r="I18" s="4">
        <f>H18*1200</f>
        <v/>
      </c>
      <c r="J18" s="4">
        <f>F18*I18</f>
        <v/>
      </c>
      <c r="K18" t="inlineStr"/>
    </row>
    <row r="19">
      <c r="A19" t="n">
        <v>15</v>
      </c>
      <c r="B19" t="inlineStr">
        <is>
          <t>Tấm in 3D</t>
        </is>
      </c>
      <c r="C19" t="inlineStr">
        <is>
          <t>TILE-223x202</t>
        </is>
      </c>
      <c r="D19" t="inlineStr">
        <is>
          <t>Tile 223x202</t>
        </is>
      </c>
      <c r="E19" t="inlineStr">
        <is>
          <t>PETG-CF / ASA</t>
        </is>
      </c>
      <c r="F19" t="n">
        <v>4</v>
      </c>
      <c r="G19" t="inlineStr">
        <is>
          <t>cái</t>
        </is>
      </c>
      <c r="H19" s="3" t="n">
        <v>122</v>
      </c>
      <c r="I19" s="4">
        <f>H19*1200</f>
        <v/>
      </c>
      <c r="J19" s="4">
        <f>F19*I19</f>
        <v/>
      </c>
      <c r="K19" t="inlineStr"/>
    </row>
    <row r="20">
      <c r="A20" t="n">
        <v>16</v>
      </c>
      <c r="B20" t="inlineStr">
        <is>
          <t>Tấm in 3D</t>
        </is>
      </c>
      <c r="C20" t="inlineStr">
        <is>
          <t>TILE-223x79</t>
        </is>
      </c>
      <c r="D20" t="inlineStr">
        <is>
          <t>Tile 223x79</t>
        </is>
      </c>
      <c r="E20" t="inlineStr">
        <is>
          <t>PETG-CF / ASA</t>
        </is>
      </c>
      <c r="F20" t="n">
        <v>2</v>
      </c>
      <c r="G20" t="inlineStr">
        <is>
          <t>cái</t>
        </is>
      </c>
      <c r="H20" s="3" t="n">
        <v>51</v>
      </c>
      <c r="I20" s="4">
        <f>H20*1200</f>
        <v/>
      </c>
      <c r="J20" s="4">
        <f>F20*I20</f>
        <v/>
      </c>
      <c r="K20" t="inlineStr"/>
    </row>
    <row r="21">
      <c r="A21" t="n">
        <v>17</v>
      </c>
      <c r="B21" t="inlineStr">
        <is>
          <t>Tấm in 3D</t>
        </is>
      </c>
      <c r="C21" t="inlineStr">
        <is>
          <t>TILE-173x100</t>
        </is>
      </c>
      <c r="D21" t="inlineStr">
        <is>
          <t>Tile 173x100 cam</t>
        </is>
      </c>
      <c r="E21" t="inlineStr">
        <is>
          <t>PETG-CF / ASA</t>
        </is>
      </c>
      <c r="F21" t="n">
        <v>2</v>
      </c>
      <c r="G21" t="inlineStr">
        <is>
          <t>cái</t>
        </is>
      </c>
      <c r="H21" s="3" t="n">
        <v>48</v>
      </c>
      <c r="I21" s="4">
        <f>H21*1200</f>
        <v/>
      </c>
      <c r="J21" s="4">
        <f>F21*I21</f>
        <v/>
      </c>
      <c r="K21" t="inlineStr"/>
    </row>
    <row r="22">
      <c r="A22" t="n">
        <v>18</v>
      </c>
      <c r="B22" t="inlineStr">
        <is>
          <t>Tấm in 3D</t>
        </is>
      </c>
      <c r="C22" t="inlineStr">
        <is>
          <t>TILE-60x300</t>
        </is>
      </c>
      <c r="D22" t="inlineStr">
        <is>
          <t>Tile 60x300 side</t>
        </is>
      </c>
      <c r="E22" t="inlineStr">
        <is>
          <t>PETG-CF / ASA</t>
        </is>
      </c>
      <c r="F22" t="n">
        <v>4</v>
      </c>
      <c r="G22" t="inlineStr">
        <is>
          <t>cái</t>
        </is>
      </c>
      <c r="H22" s="3" t="n">
        <v>54</v>
      </c>
      <c r="I22" s="4">
        <f>H22*1200</f>
        <v/>
      </c>
      <c r="J22" s="4">
        <f>F22*I22</f>
        <v/>
      </c>
      <c r="K22" t="inlineStr"/>
    </row>
    <row r="23">
      <c r="A23" t="n">
        <v>19</v>
      </c>
      <c r="B23" t="inlineStr">
        <is>
          <t>Tấm in 3D</t>
        </is>
      </c>
      <c r="C23" t="inlineStr">
        <is>
          <t>TILE-220x152</t>
        </is>
      </c>
      <c r="D23" t="inlineStr">
        <is>
          <t>Tile 220x152</t>
        </is>
      </c>
      <c r="E23" t="inlineStr">
        <is>
          <t>PETG-CF / ASA</t>
        </is>
      </c>
      <c r="F23" t="n">
        <v>4</v>
      </c>
      <c r="G23" t="inlineStr">
        <is>
          <t>cái</t>
        </is>
      </c>
      <c r="H23" s="3" t="n">
        <v>92</v>
      </c>
      <c r="I23" s="4">
        <f>H23*1200</f>
        <v/>
      </c>
      <c r="J23" s="4">
        <f>F23*I23</f>
        <v/>
      </c>
      <c r="K23" t="inlineStr"/>
    </row>
    <row r="24">
      <c r="A24" t="n">
        <v>20</v>
      </c>
      <c r="B24" t="inlineStr">
        <is>
          <t>Tấm in 3D</t>
        </is>
      </c>
      <c r="C24" t="inlineStr">
        <is>
          <t>TILE-220x148</t>
        </is>
      </c>
      <c r="D24" t="inlineStr">
        <is>
          <t>Tile 220x148</t>
        </is>
      </c>
      <c r="E24" t="inlineStr">
        <is>
          <t>PETG-CF / ASA</t>
        </is>
      </c>
      <c r="F24" t="n">
        <v>4</v>
      </c>
      <c r="G24" t="inlineStr">
        <is>
          <t>cái</t>
        </is>
      </c>
      <c r="H24" s="3" t="n">
        <v>88</v>
      </c>
      <c r="I24" s="4">
        <f>H24*1200</f>
        <v/>
      </c>
      <c r="J24" s="4">
        <f>F24*I24</f>
        <v/>
      </c>
      <c r="K24" t="inlineStr"/>
    </row>
    <row r="25">
      <c r="A25" t="n">
        <v>21</v>
      </c>
      <c r="B25" t="inlineStr">
        <is>
          <t>Tấm in 3D</t>
        </is>
      </c>
      <c r="C25" t="inlineStr">
        <is>
          <t>TILE-163x223</t>
        </is>
      </c>
      <c r="D25" t="inlineStr">
        <is>
          <t>Tile 163x223</t>
        </is>
      </c>
      <c r="E25" t="inlineStr">
        <is>
          <t>PETG-CF / ASA</t>
        </is>
      </c>
      <c r="F25" t="n">
        <v>4</v>
      </c>
      <c r="G25" t="inlineStr">
        <is>
          <t>cái</t>
        </is>
      </c>
      <c r="H25" s="3" t="n">
        <v>100</v>
      </c>
      <c r="I25" s="4">
        <f>H25*1200</f>
        <v/>
      </c>
      <c r="J25" s="4">
        <f>F25*I25</f>
        <v/>
      </c>
      <c r="K25" t="inlineStr"/>
    </row>
    <row r="26">
      <c r="A26" t="n">
        <v>22</v>
      </c>
      <c r="B26" t="inlineStr">
        <is>
          <t>Tấm in 3D</t>
        </is>
      </c>
      <c r="C26" t="inlineStr">
        <is>
          <t>TILE-100x173</t>
        </is>
      </c>
      <c r="D26" t="inlineStr">
        <is>
          <t>Tile 100x173 fill</t>
        </is>
      </c>
      <c r="E26" t="inlineStr">
        <is>
          <t>PETG-CF / ASA</t>
        </is>
      </c>
      <c r="F26" t="n">
        <v>2</v>
      </c>
      <c r="G26" t="inlineStr">
        <is>
          <t>cái</t>
        </is>
      </c>
      <c r="H26" s="3" t="n">
        <v>51</v>
      </c>
      <c r="I26" s="4">
        <f>H26*1200</f>
        <v/>
      </c>
      <c r="J26" s="4">
        <f>F26*I26</f>
        <v/>
      </c>
      <c r="K26" t="inlineStr"/>
    </row>
    <row r="27">
      <c r="A27" t="n">
        <v>23</v>
      </c>
      <c r="B27" t="inlineStr">
        <is>
          <t>Tấm in 3D</t>
        </is>
      </c>
      <c r="C27" t="inlineStr">
        <is>
          <t>TILE-223x223</t>
        </is>
      </c>
      <c r="D27" t="inlineStr">
        <is>
          <t>Tile 223x223</t>
        </is>
      </c>
      <c r="E27" t="inlineStr">
        <is>
          <t>PETG-CF / ASA</t>
        </is>
      </c>
      <c r="F27" t="n">
        <v>4</v>
      </c>
      <c r="G27" t="inlineStr">
        <is>
          <t>cái</t>
        </is>
      </c>
      <c r="H27" s="3" t="n">
        <v>132</v>
      </c>
      <c r="I27" s="4">
        <f>H27*1200</f>
        <v/>
      </c>
      <c r="J27" s="4">
        <f>F27*I27</f>
        <v/>
      </c>
      <c r="K27" t="inlineStr"/>
    </row>
    <row r="28">
      <c r="A28" t="n">
        <v>24</v>
      </c>
      <c r="B28" t="inlineStr">
        <is>
          <t>Chi tiết in 3D</t>
        </is>
      </c>
      <c r="C28" t="inlineStr">
        <is>
          <t>CLAMP-CAM</t>
        </is>
      </c>
      <c r="D28" t="inlineStr">
        <is>
          <t>Mam giu camera</t>
        </is>
      </c>
      <c r="E28" t="inlineStr">
        <is>
          <t>PETG-CF / ASA</t>
        </is>
      </c>
      <c r="F28" t="n">
        <v>2</v>
      </c>
      <c r="G28" t="inlineStr">
        <is>
          <t>cái</t>
        </is>
      </c>
      <c r="H28" s="3" t="n">
        <v>22</v>
      </c>
      <c r="I28" s="4">
        <f>H28*1200</f>
        <v/>
      </c>
      <c r="J28" s="4">
        <f>F28*I28</f>
        <v/>
      </c>
      <c r="K28" t="inlineStr"/>
    </row>
    <row r="29">
      <c r="A29" t="n">
        <v>25</v>
      </c>
      <c r="B29" t="inlineStr">
        <is>
          <t>Chi tiết in 3D</t>
        </is>
      </c>
      <c r="C29" t="inlineStr">
        <is>
          <t>BELT-CLAMP-BLOCK</t>
        </is>
      </c>
      <c r="D29" t="inlineStr">
        <is>
          <t>Khoi kep dai</t>
        </is>
      </c>
      <c r="E29" t="inlineStr">
        <is>
          <t>PETG-CF / ASA</t>
        </is>
      </c>
      <c r="F29" t="n">
        <v>2</v>
      </c>
      <c r="G29" t="inlineStr">
        <is>
          <t>cái</t>
        </is>
      </c>
      <c r="H29" s="3" t="n">
        <v>3</v>
      </c>
      <c r="I29" s="4">
        <f>H29*1200</f>
        <v/>
      </c>
      <c r="J29" s="4">
        <f>F29*I29</f>
        <v/>
      </c>
      <c r="K29" t="inlineStr"/>
    </row>
    <row r="30">
      <c r="A30" t="n">
        <v>26</v>
      </c>
      <c r="B30" t="inlineStr">
        <is>
          <t>Chi tiết in 3D</t>
        </is>
      </c>
      <c r="C30" t="inlineStr">
        <is>
          <t>BELT-CLAMP-CAP</t>
        </is>
      </c>
      <c r="D30" t="inlineStr">
        <is>
          <t>Nap kep dai + co endstop</t>
        </is>
      </c>
      <c r="E30" t="inlineStr">
        <is>
          <t>PETG-CF / ASA</t>
        </is>
      </c>
      <c r="F30" t="n">
        <v>2</v>
      </c>
      <c r="G30" t="inlineStr">
        <is>
          <t>cái</t>
        </is>
      </c>
      <c r="H30" s="3" t="n">
        <v>2</v>
      </c>
      <c r="I30" s="4">
        <f>H30*1200</f>
        <v/>
      </c>
      <c r="J30" s="4">
        <f>F30*I30</f>
        <v/>
      </c>
      <c r="K30" t="inlineStr"/>
    </row>
    <row r="31">
      <c r="A31" t="n">
        <v>27</v>
      </c>
      <c r="B31" t="inlineStr">
        <is>
          <t>Chi tiết in 3D</t>
        </is>
      </c>
      <c r="C31" t="inlineStr">
        <is>
          <t>MOTOR-PLATE</t>
        </is>
      </c>
      <c r="D31" t="inlineStr">
        <is>
          <t>Tam gan motor</t>
        </is>
      </c>
      <c r="E31" t="inlineStr">
        <is>
          <t>PETG-CF / ASA</t>
        </is>
      </c>
      <c r="F31" t="n">
        <v>2</v>
      </c>
      <c r="G31" t="inlineStr">
        <is>
          <t>cái</t>
        </is>
      </c>
      <c r="H31" s="3" t="n">
        <v>14</v>
      </c>
      <c r="I31" s="4">
        <f>H31*1200</f>
        <v/>
      </c>
      <c r="J31" s="4">
        <f>F31*I31</f>
        <v/>
      </c>
      <c r="K31" t="inlineStr"/>
    </row>
    <row r="32">
      <c r="A32" t="n">
        <v>28</v>
      </c>
      <c r="B32" t="inlineStr">
        <is>
          <t>Chi tiết in 3D</t>
        </is>
      </c>
      <c r="C32" t="inlineStr">
        <is>
          <t>IDLER-PLATE</t>
        </is>
      </c>
      <c r="D32" t="inlineStr">
        <is>
          <t>Tam idler</t>
        </is>
      </c>
      <c r="E32" t="inlineStr">
        <is>
          <t>PETG-CF / ASA</t>
        </is>
      </c>
      <c r="F32" t="n">
        <v>2</v>
      </c>
      <c r="G32" t="inlineStr">
        <is>
          <t>cái</t>
        </is>
      </c>
      <c r="H32" s="3" t="n">
        <v>10</v>
      </c>
      <c r="I32" s="4">
        <f>H32*1200</f>
        <v/>
      </c>
      <c r="J32" s="4">
        <f>F32*I32</f>
        <v/>
      </c>
      <c r="K32" t="inlineStr"/>
    </row>
    <row r="33">
      <c r="A33" t="n">
        <v>29</v>
      </c>
      <c r="B33" t="inlineStr">
        <is>
          <t>Khung</t>
        </is>
      </c>
      <c r="C33" t="inlineStr">
        <is>
          <t>FOOT-M8</t>
        </is>
      </c>
      <c r="D33" t="inlineStr">
        <is>
          <t>Chân cân bằng M8</t>
        </is>
      </c>
      <c r="E33" t="inlineStr">
        <is>
          <t>Cao su + thep</t>
        </is>
      </c>
      <c r="F33" t="n">
        <v>4</v>
      </c>
      <c r="G33" t="inlineStr">
        <is>
          <t>cái</t>
        </is>
      </c>
      <c r="H33" s="3" t="n"/>
      <c r="I33" s="4" t="n">
        <v>25000</v>
      </c>
      <c r="J33" s="4">
        <f>F33*I33</f>
        <v/>
      </c>
      <c r="K33" t="inlineStr">
        <is>
          <t>Cao su + thép</t>
        </is>
      </c>
    </row>
    <row r="34">
      <c r="A34" t="n">
        <v>30</v>
      </c>
      <c r="B34" t="inlineStr">
        <is>
          <t>Camera</t>
        </is>
      </c>
      <c r="C34" t="inlineStr">
        <is>
          <t>ALPLATE-140x120x4</t>
        </is>
      </c>
      <c r="D34" t="inlineStr">
        <is>
          <t>Tấm gắn camera TRÊN Al 4 mm (CNC)</t>
        </is>
      </c>
      <c r="E34" t="inlineStr">
        <is>
          <t>Al 6061 4 mm</t>
        </is>
      </c>
      <c r="F34" t="n">
        <v>1</v>
      </c>
      <c r="G34" t="inlineStr">
        <is>
          <t>cái</t>
        </is>
      </c>
      <c r="H34" s="3" t="n"/>
      <c r="I34" s="4" t="n">
        <v>280000</v>
      </c>
      <c r="J34" s="4">
        <f>F34*I34</f>
        <v/>
      </c>
      <c r="K34" t="inlineStr">
        <is>
          <t>Gia công CNC/laser + taro</t>
        </is>
      </c>
    </row>
    <row r="35">
      <c r="A35" t="n">
        <v>31</v>
      </c>
      <c r="B35" t="inlineStr">
        <is>
          <t>Chiếu sáng</t>
        </is>
      </c>
      <c r="C35" t="inlineStr">
        <is>
          <t>LEDRING-80</t>
        </is>
      </c>
      <c r="D35" t="inlineStr">
        <is>
          <t>Vòng LED + tản nhiệt D80/ID45</t>
        </is>
      </c>
      <c r="E35" t="inlineStr">
        <is>
          <t>MCPCB + nhom</t>
        </is>
      </c>
      <c r="F35" t="n">
        <v>2</v>
      </c>
      <c r="G35" t="inlineStr">
        <is>
          <t>cái</t>
        </is>
      </c>
      <c r="H35" s="3" t="n"/>
      <c r="I35" s="4" t="n">
        <v>900000</v>
      </c>
      <c r="J35" s="4">
        <f>F35*I35</f>
        <v/>
      </c>
      <c r="K35" t="inlineStr">
        <is>
          <t>Theo ring XP-L2 14 LED; HOLD theo QC_LED_RING</t>
        </is>
      </c>
    </row>
    <row r="36">
      <c r="A36" t="n">
        <v>32</v>
      </c>
      <c r="B36" t="inlineStr">
        <is>
          <t>Camera</t>
        </is>
      </c>
      <c r="C36" t="inlineStr">
        <is>
          <t>STANDOFF-D10x13-M4</t>
        </is>
      </c>
      <c r="D36" t="inlineStr">
        <is>
          <t>Trụ đỡ camera D10x13 M4</t>
        </is>
      </c>
      <c r="E36" t="inlineStr">
        <is>
          <t>Al</t>
        </is>
      </c>
      <c r="F36" t="n">
        <v>8</v>
      </c>
      <c r="G36" t="inlineStr">
        <is>
          <t>cái</t>
        </is>
      </c>
      <c r="H36" s="3" t="n"/>
      <c r="I36" s="4" t="n">
        <v>12000</v>
      </c>
      <c r="J36" s="4">
        <f>F36*I36</f>
        <v/>
      </c>
      <c r="K36" t="inlineStr"/>
    </row>
    <row r="37">
      <c r="A37" t="n">
        <v>33</v>
      </c>
      <c r="B37" t="inlineStr">
        <is>
          <t>Camera</t>
        </is>
      </c>
      <c r="C37" t="inlineStr">
        <is>
          <t>CAM-12MP-GS</t>
        </is>
      </c>
      <c r="D37" t="inlineStr">
        <is>
          <t>Camera công nghiệp 12MP 1.1" global shutter</t>
        </is>
      </c>
      <c r="E37" t="inlineStr"/>
      <c r="F37" t="n">
        <v>2</v>
      </c>
      <c r="G37" t="inlineStr">
        <is>
          <t>cái</t>
        </is>
      </c>
      <c r="H37" s="3" t="n"/>
      <c r="I37" s="4" t="n">
        <v>28000000</v>
      </c>
      <c r="J37" s="4">
        <f>F37*I37</f>
        <v/>
      </c>
      <c r="K37" t="inlineStr">
        <is>
          <t>Giá tham khảo loại Basler/tương đương; chưa chốt model</t>
        </is>
      </c>
    </row>
    <row r="38">
      <c r="A38" t="n">
        <v>34</v>
      </c>
      <c r="B38" t="inlineStr">
        <is>
          <t>Camera</t>
        </is>
      </c>
      <c r="C38" t="inlineStr">
        <is>
          <t>LENS-C-12</t>
        </is>
      </c>
      <c r="D38" t="inlineStr">
        <is>
          <t>Ống kính C-mount f=12 mm 1.1"</t>
        </is>
      </c>
      <c r="E38" t="inlineStr"/>
      <c r="F38" t="n">
        <v>1</v>
      </c>
      <c r="G38" t="inlineStr">
        <is>
          <t>cái</t>
        </is>
      </c>
      <c r="H38" s="3" t="n"/>
      <c r="I38" s="4" t="n">
        <v>9000000</v>
      </c>
      <c r="J38" s="4">
        <f>F38*I38</f>
        <v/>
      </c>
      <c r="K38" t="inlineStr">
        <is>
          <t>12MP 1.1"</t>
        </is>
      </c>
    </row>
    <row r="39">
      <c r="A39" t="n">
        <v>35</v>
      </c>
      <c r="B39" t="inlineStr">
        <is>
          <t>Camera</t>
        </is>
      </c>
      <c r="C39" t="inlineStr">
        <is>
          <t>ALPLATE-120x140x4</t>
        </is>
      </c>
      <c r="D39" t="inlineStr">
        <is>
          <t>Tấm gắn camera SAU Al 4 mm (CNC)</t>
        </is>
      </c>
      <c r="E39" t="inlineStr">
        <is>
          <t>Al 6061 4 mm</t>
        </is>
      </c>
      <c r="F39" t="n">
        <v>1</v>
      </c>
      <c r="G39" t="inlineStr">
        <is>
          <t>cái</t>
        </is>
      </c>
      <c r="H39" s="3" t="n"/>
      <c r="I39" s="4" t="n">
        <v>280000</v>
      </c>
      <c r="J39" s="4">
        <f>F39*I39</f>
        <v/>
      </c>
      <c r="K39" t="inlineStr">
        <is>
          <t>Gia công CNC/laser + taro</t>
        </is>
      </c>
    </row>
    <row r="40">
      <c r="A40" t="n">
        <v>36</v>
      </c>
      <c r="B40" t="inlineStr">
        <is>
          <t>Camera</t>
        </is>
      </c>
      <c r="C40" t="inlineStr">
        <is>
          <t>LENS-C-6</t>
        </is>
      </c>
      <c r="D40" t="inlineStr">
        <is>
          <t>Ống kính C-mount f=6 mm 1.1"</t>
        </is>
      </c>
      <c r="E40" t="inlineStr"/>
      <c r="F40" t="n">
        <v>1</v>
      </c>
      <c r="G40" t="inlineStr">
        <is>
          <t>cái</t>
        </is>
      </c>
      <c r="H40" s="3" t="n"/>
      <c r="I40" s="4" t="n">
        <v>9000000</v>
      </c>
      <c r="J40" s="4">
        <f>F40*I40</f>
        <v/>
      </c>
      <c r="K40" t="inlineStr">
        <is>
          <t>Cần xác nhận khả dụng f=6 cho 1.1"</t>
        </is>
      </c>
    </row>
    <row r="41">
      <c r="A41" t="n">
        <v>37</v>
      </c>
      <c r="B41" t="inlineStr">
        <is>
          <t>Truyền động</t>
        </is>
      </c>
      <c r="C41" t="inlineStr">
        <is>
          <t>MGN9-RAIL-600</t>
        </is>
      </c>
      <c r="D41" t="inlineStr">
        <is>
          <t>Ray trượt MGN9 L600</t>
        </is>
      </c>
      <c r="E41" t="inlineStr">
        <is>
          <t>Thep</t>
        </is>
      </c>
      <c r="F41" t="n">
        <v>4</v>
      </c>
      <c r="G41" t="inlineStr">
        <is>
          <t>cái</t>
        </is>
      </c>
      <c r="H41" s="3" t="n"/>
      <c r="I41" s="4" t="n">
        <v>230000</v>
      </c>
      <c r="J41" s="4">
        <f>F41*I41</f>
        <v/>
      </c>
      <c r="K41" t="inlineStr"/>
    </row>
    <row r="42">
      <c r="A42" t="n">
        <v>38</v>
      </c>
      <c r="B42" t="inlineStr">
        <is>
          <t>Truyền động</t>
        </is>
      </c>
      <c r="C42" t="inlineStr">
        <is>
          <t>MGN9H-CARRIAGE</t>
        </is>
      </c>
      <c r="D42" t="inlineStr">
        <is>
          <t>Xe trượt MGN9H</t>
        </is>
      </c>
      <c r="E42" t="inlineStr">
        <is>
          <t>Thep</t>
        </is>
      </c>
      <c r="F42" t="n">
        <v>8</v>
      </c>
      <c r="G42" t="inlineStr">
        <is>
          <t>cái</t>
        </is>
      </c>
      <c r="H42" s="3" t="n"/>
      <c r="I42" s="4" t="n">
        <v>130000</v>
      </c>
      <c r="J42" s="4">
        <f>F42*I42</f>
        <v/>
      </c>
      <c r="K42" t="inlineStr"/>
    </row>
    <row r="43">
      <c r="A43" t="n">
        <v>39</v>
      </c>
      <c r="B43" t="inlineStr">
        <is>
          <t>Cửa</t>
        </is>
      </c>
      <c r="C43" t="inlineStr">
        <is>
          <t>DOOR-ACR-3-516x314</t>
        </is>
      </c>
      <c r="D43" t="inlineStr">
        <is>
          <t>Cánh cửa acrylic đen 3 mm (cắt laser)</t>
        </is>
      </c>
      <c r="E43" t="inlineStr">
        <is>
          <t>Acrylic den 3 mm</t>
        </is>
      </c>
      <c r="F43" t="n">
        <v>2</v>
      </c>
      <c r="G43" t="inlineStr">
        <is>
          <t>cái</t>
        </is>
      </c>
      <c r="H43" s="3" t="n"/>
      <c r="I43" s="4" t="n">
        <v>150000</v>
      </c>
      <c r="J43" s="4">
        <f>F43*I43</f>
        <v/>
      </c>
      <c r="K43" t="inlineStr"/>
    </row>
    <row r="44">
      <c r="A44" t="n">
        <v>40</v>
      </c>
      <c r="B44" t="inlineStr">
        <is>
          <t>Truyền động</t>
        </is>
      </c>
      <c r="C44" t="inlineStr">
        <is>
          <t>NEMA17-42x48</t>
        </is>
      </c>
      <c r="D44" t="inlineStr">
        <is>
          <t>Motor bước NEMA17 42x48 1.7A</t>
        </is>
      </c>
      <c r="E44" t="inlineStr"/>
      <c r="F44" t="n">
        <v>2</v>
      </c>
      <c r="G44" t="inlineStr">
        <is>
          <t>cái</t>
        </is>
      </c>
      <c r="H44" s="3" t="n"/>
      <c r="I44" s="4" t="n">
        <v>230000</v>
      </c>
      <c r="J44" s="4">
        <f>F44*I44</f>
        <v/>
      </c>
      <c r="K44" t="inlineStr"/>
    </row>
    <row r="45">
      <c r="A45" t="n">
        <v>41</v>
      </c>
      <c r="B45" t="inlineStr">
        <is>
          <t>Truyền động</t>
        </is>
      </c>
      <c r="C45" t="inlineStr">
        <is>
          <t>GT2-20T-B5</t>
        </is>
      </c>
      <c r="D45" t="inlineStr">
        <is>
          <t>Puly GT2 20T trục 5</t>
        </is>
      </c>
      <c r="E45" t="inlineStr">
        <is>
          <t>Nhom</t>
        </is>
      </c>
      <c r="F45" t="n">
        <v>2</v>
      </c>
      <c r="G45" t="inlineStr">
        <is>
          <t>cái</t>
        </is>
      </c>
      <c r="H45" s="3" t="n"/>
      <c r="I45" s="4" t="n">
        <v>35000</v>
      </c>
      <c r="J45" s="4">
        <f>F45*I45</f>
        <v/>
      </c>
      <c r="K45" t="inlineStr"/>
    </row>
    <row r="46">
      <c r="A46" t="n">
        <v>42</v>
      </c>
      <c r="B46" t="inlineStr">
        <is>
          <t>Truyền động</t>
        </is>
      </c>
      <c r="C46" t="inlineStr">
        <is>
          <t>GT2-IDLER-20T</t>
        </is>
      </c>
      <c r="D46" t="inlineStr">
        <is>
          <t>Puly idler GT2 20T + bu lông M5x30</t>
        </is>
      </c>
      <c r="E46" t="inlineStr"/>
      <c r="F46" t="n">
        <v>2</v>
      </c>
      <c r="G46" t="inlineStr">
        <is>
          <t>cái</t>
        </is>
      </c>
      <c r="H46" s="3" t="n"/>
      <c r="I46" s="4" t="n">
        <v>45000</v>
      </c>
      <c r="J46" s="4">
        <f>F46*I46</f>
        <v/>
      </c>
      <c r="K46" t="inlineStr"/>
    </row>
    <row r="47">
      <c r="A47" t="n">
        <v>43</v>
      </c>
      <c r="B47" t="inlineStr">
        <is>
          <t>Truyền động</t>
        </is>
      </c>
      <c r="C47" t="inlineStr">
        <is>
          <t>GT2-BELT-6</t>
        </is>
      </c>
      <c r="D47" t="inlineStr">
        <is>
          <t>Dây đai GT2 6 mm (~1.25 m)</t>
        </is>
      </c>
      <c r="E47" t="inlineStr">
        <is>
          <t>Cao su+soi thuy tinh</t>
        </is>
      </c>
      <c r="F47" t="n">
        <v>2</v>
      </c>
      <c r="G47" t="inlineStr">
        <is>
          <t>cái</t>
        </is>
      </c>
      <c r="H47" s="3" t="n"/>
      <c r="I47" s="4" t="n">
        <v>60000</v>
      </c>
      <c r="J47" s="4">
        <f>F47*I47</f>
        <v/>
      </c>
      <c r="K47" t="inlineStr"/>
    </row>
    <row r="48">
      <c r="A48" t="n">
        <v>44</v>
      </c>
      <c r="B48" t="inlineStr">
        <is>
          <t>Cảm biến</t>
        </is>
      </c>
      <c r="C48" t="inlineStr">
        <is>
          <t>ENDSTOP-OPTO</t>
        </is>
      </c>
      <c r="D48" t="inlineStr">
        <is>
          <t>Cảm biến quang khe chữ U (endstop)</t>
        </is>
      </c>
      <c r="E48" t="inlineStr"/>
      <c r="F48" t="n">
        <v>4</v>
      </c>
      <c r="G48" t="inlineStr">
        <is>
          <t>cái</t>
        </is>
      </c>
      <c r="H48" s="3" t="n"/>
      <c r="I48" s="4" t="n">
        <v>45000</v>
      </c>
      <c r="J48" s="4">
        <f>F48*I48</f>
        <v/>
      </c>
      <c r="K48" t="inlineStr"/>
    </row>
    <row r="49">
      <c r="A49" t="n">
        <v>45</v>
      </c>
      <c r="B49" t="inlineStr">
        <is>
          <t>Cảm biến</t>
        </is>
      </c>
      <c r="C49" t="inlineStr">
        <is>
          <t>VL53L1X</t>
        </is>
      </c>
      <c r="D49" t="inlineStr">
        <is>
          <t>Module ToF VL53L1X</t>
        </is>
      </c>
      <c r="E49" t="inlineStr"/>
      <c r="F49" t="n">
        <v>4</v>
      </c>
      <c r="G49" t="inlineStr">
        <is>
          <t>cái</t>
        </is>
      </c>
      <c r="H49" s="3" t="n"/>
      <c r="I49" s="4" t="n">
        <v>140000</v>
      </c>
      <c r="J49" s="4">
        <f>F49*I49</f>
        <v/>
      </c>
      <c r="K49" t="inlineStr"/>
    </row>
    <row r="50">
      <c r="A50" t="n">
        <v>46</v>
      </c>
      <c r="B50" t="inlineStr">
        <is>
          <t>Cảm biến</t>
        </is>
      </c>
      <c r="C50" t="inlineStr">
        <is>
          <t>BEAM-EMIT</t>
        </is>
      </c>
      <c r="D50" t="inlineStr">
        <is>
          <t>Cảm biến chùm tia - phát (IR)</t>
        </is>
      </c>
      <c r="E50" t="inlineStr"/>
      <c r="F50" t="n">
        <v>4</v>
      </c>
      <c r="G50" t="inlineStr">
        <is>
          <t>cái</t>
        </is>
      </c>
      <c r="H50" s="3" t="n"/>
      <c r="I50" s="4" t="n">
        <v>60000</v>
      </c>
      <c r="J50" s="4">
        <f>F50*I50</f>
        <v/>
      </c>
      <c r="K50" t="inlineStr">
        <is>
          <t>Break-beam</t>
        </is>
      </c>
    </row>
    <row r="51">
      <c r="A51" t="n">
        <v>47</v>
      </c>
      <c r="B51" t="inlineStr">
        <is>
          <t>Cảm biến</t>
        </is>
      </c>
      <c r="C51" t="inlineStr">
        <is>
          <t>BEAM-RECV</t>
        </is>
      </c>
      <c r="D51" t="inlineStr">
        <is>
          <t>Cảm biến chùm tia - thu (IR)</t>
        </is>
      </c>
      <c r="E51" t="inlineStr"/>
      <c r="F51" t="n">
        <v>4</v>
      </c>
      <c r="G51" t="inlineStr">
        <is>
          <t>cái</t>
        </is>
      </c>
      <c r="H51" s="3" t="n"/>
      <c r="I51" s="4" t="n">
        <v>60000</v>
      </c>
      <c r="J51" s="4">
        <f>F51*I51</f>
        <v/>
      </c>
      <c r="K51" t="inlineStr">
        <is>
          <t>Break-beam</t>
        </is>
      </c>
    </row>
    <row r="52">
      <c r="A52" t="n">
        <v>48</v>
      </c>
      <c r="B52" t="inlineStr">
        <is>
          <t>Điện</t>
        </is>
      </c>
      <c r="C52" t="inlineStr">
        <is>
          <t>ENCL-200x198x90</t>
        </is>
      </c>
      <c r="D52" t="inlineStr">
        <is>
          <t>Hộp điều khiển ABS 200x198x90</t>
        </is>
      </c>
      <c r="E52" t="inlineStr">
        <is>
          <t>ABS</t>
        </is>
      </c>
      <c r="F52" t="n">
        <v>1</v>
      </c>
      <c r="G52" t="inlineStr">
        <is>
          <t>cái</t>
        </is>
      </c>
      <c r="H52" s="3" t="n"/>
      <c r="I52" s="4" t="n">
        <v>180000</v>
      </c>
      <c r="J52" s="4">
        <f>F52*I52</f>
        <v/>
      </c>
      <c r="K52" t="inlineStr"/>
    </row>
    <row r="53">
      <c r="A53" t="n">
        <v>49</v>
      </c>
      <c r="B53" t="inlineStr">
        <is>
          <t>Khung</t>
        </is>
      </c>
      <c r="C53" t="inlineStr">
        <is>
          <t>CORNER-L</t>
        </is>
      </c>
      <c r="D53" t="inlineStr">
        <is>
          <t>Ke góc 2020 + T-nut + vít M5x8 (bộ)</t>
        </is>
      </c>
      <c r="E53" t="inlineStr">
        <is>
          <t>Thép mạ</t>
        </is>
      </c>
      <c r="F53" t="n">
        <v>92</v>
      </c>
      <c r="G53" t="inlineStr">
        <is>
          <t>bộ</t>
        </is>
      </c>
      <c r="H53" s="3" t="n"/>
      <c r="I53" s="4" t="n">
        <v>6000</v>
      </c>
      <c r="J53" s="4">
        <f>F53*I53</f>
        <v/>
      </c>
      <c r="K53" t="inlineStr">
        <is>
          <t>92 mối nối đối đầu; không mô hình 3D</t>
        </is>
      </c>
    </row>
    <row r="54">
      <c r="A54" t="n">
        <v>50</v>
      </c>
      <c r="B54" t="inlineStr">
        <is>
          <t>Khung</t>
        </is>
      </c>
      <c r="C54" t="inlineStr">
        <is>
          <t>TNUT-M5</t>
        </is>
      </c>
      <c r="D54" t="inlineStr">
        <is>
          <t>Đai ốc chữ T M5 drop-in (cho tấm in, thanh phụ)</t>
        </is>
      </c>
      <c r="E54" t="inlineStr">
        <is>
          <t>Thép</t>
        </is>
      </c>
      <c r="F54" t="n">
        <v>260</v>
      </c>
      <c r="G54" t="inlineStr">
        <is>
          <t>cái</t>
        </is>
      </c>
      <c r="H54" s="3" t="n"/>
      <c r="I54" s="4" t="n">
        <v>1500</v>
      </c>
      <c r="J54" s="4">
        <f>F54*I54</f>
        <v/>
      </c>
      <c r="K54" t="inlineStr"/>
    </row>
    <row r="55">
      <c r="A55" t="n">
        <v>51</v>
      </c>
      <c r="B55" t="inlineStr">
        <is>
          <t>Khung</t>
        </is>
      </c>
      <c r="C55" t="inlineStr">
        <is>
          <t>SCREW-M5x10</t>
        </is>
      </c>
      <c r="D55" t="inlineStr">
        <is>
          <t>Vít M5x10 nút bấm / SHCS</t>
        </is>
      </c>
      <c r="E55" t="inlineStr">
        <is>
          <t>Thép</t>
        </is>
      </c>
      <c r="F55" t="n">
        <v>260</v>
      </c>
      <c r="G55" t="inlineStr">
        <is>
          <t>cái</t>
        </is>
      </c>
      <c r="H55" s="3" t="n"/>
      <c r="I55" s="4" t="n">
        <v>1000</v>
      </c>
      <c r="J55" s="4">
        <f>F55*I55</f>
        <v/>
      </c>
      <c r="K55" t="inlineStr"/>
    </row>
    <row r="56">
      <c r="A56" t="n">
        <v>52</v>
      </c>
      <c r="B56" t="inlineStr">
        <is>
          <t>Cửa</t>
        </is>
      </c>
      <c r="C56" t="inlineStr">
        <is>
          <t>RAIL-SCREW</t>
        </is>
      </c>
      <c r="D56" t="inlineStr">
        <is>
          <t>Vít M3 + đai ốc cố định ray/xe (bộ cho 2 cửa)</t>
        </is>
      </c>
      <c r="E56" t="inlineStr">
        <is>
          <t>Thép</t>
        </is>
      </c>
      <c r="F56" t="n">
        <v>2</v>
      </c>
      <c r="G56" t="inlineStr">
        <is>
          <t>bộ</t>
        </is>
      </c>
      <c r="H56" s="3" t="n"/>
      <c r="I56" s="4" t="n">
        <v>25000</v>
      </c>
      <c r="J56" s="4">
        <f>F56*I56</f>
        <v/>
      </c>
      <c r="K56" t="inlineStr"/>
    </row>
    <row r="57">
      <c r="A57" t="n">
        <v>53</v>
      </c>
      <c r="B57" t="inlineStr">
        <is>
          <t>Che sáng</t>
        </is>
      </c>
      <c r="C57" t="inlineStr">
        <is>
          <t>SEAL-BRUSH</t>
        </is>
      </c>
      <c r="D57" t="inlineStr">
        <is>
          <t>Gioăng chổi/foam đen chống lọt sáng quanh cửa</t>
        </is>
      </c>
      <c r="E57" t="inlineStr">
        <is>
          <t>Foam/Chổi</t>
        </is>
      </c>
      <c r="F57" t="n">
        <v>2</v>
      </c>
      <c r="G57" t="inlineStr">
        <is>
          <t>bộ</t>
        </is>
      </c>
      <c r="H57" s="3" t="n"/>
      <c r="I57" s="4" t="n">
        <v>120000</v>
      </c>
      <c r="J57" s="4">
        <f>F57*I57</f>
        <v/>
      </c>
      <c r="K57" t="inlineStr">
        <is>
          <t>Cần để tránh rò sáng</t>
        </is>
      </c>
    </row>
    <row r="58">
      <c r="A58" t="n">
        <v>54</v>
      </c>
      <c r="B58" t="inlineStr">
        <is>
          <t>Điện</t>
        </is>
      </c>
      <c r="C58" t="inlineStr">
        <is>
          <t>PSU-24V-350W</t>
        </is>
      </c>
      <c r="D58" t="inlineStr">
        <is>
          <t>Nguồn 24V 350W</t>
        </is>
      </c>
      <c r="E58" t="inlineStr"/>
      <c r="F58" t="n">
        <v>1</v>
      </c>
      <c r="G58" t="inlineStr">
        <is>
          <t>cái</t>
        </is>
      </c>
      <c r="H58" s="3" t="n"/>
      <c r="I58" s="4" t="n">
        <v>650000</v>
      </c>
      <c r="J58" s="4">
        <f>F58*I58</f>
        <v/>
      </c>
      <c r="K58" t="inlineStr">
        <is>
          <t>Đỉnh strobe</t>
        </is>
      </c>
    </row>
    <row r="59">
      <c r="A59" t="n">
        <v>55</v>
      </c>
      <c r="B59" t="inlineStr">
        <is>
          <t>Điện</t>
        </is>
      </c>
      <c r="C59" t="inlineStr">
        <is>
          <t>ESP32-S3</t>
        </is>
      </c>
      <c r="D59" t="inlineStr">
        <is>
          <t>Mạch ESP32-S3 DevKit</t>
        </is>
      </c>
      <c r="E59" t="inlineStr"/>
      <c r="F59" t="n">
        <v>1</v>
      </c>
      <c r="G59" t="inlineStr">
        <is>
          <t>cái</t>
        </is>
      </c>
      <c r="H59" s="3" t="n"/>
      <c r="I59" s="4" t="n">
        <v>220000</v>
      </c>
      <c r="J59" s="4">
        <f>F59*I59</f>
        <v/>
      </c>
      <c r="K59" t="inlineStr"/>
    </row>
    <row r="60">
      <c r="A60" t="n">
        <v>56</v>
      </c>
      <c r="B60" t="inlineStr">
        <is>
          <t>Điện</t>
        </is>
      </c>
      <c r="C60" t="inlineStr">
        <is>
          <t>TMC2209</t>
        </is>
      </c>
      <c r="D60" t="inlineStr">
        <is>
          <t>Driver TMC2209 (StallGuard)</t>
        </is>
      </c>
      <c r="E60" t="inlineStr"/>
      <c r="F60" t="n">
        <v>2</v>
      </c>
      <c r="G60" t="inlineStr">
        <is>
          <t>cái</t>
        </is>
      </c>
      <c r="H60" s="3" t="n"/>
      <c r="I60" s="4" t="n">
        <v>110000</v>
      </c>
      <c r="J60" s="4">
        <f>F60*I60</f>
        <v/>
      </c>
      <c r="K60" t="inlineStr"/>
    </row>
    <row r="61">
      <c r="A61" t="n">
        <v>57</v>
      </c>
      <c r="B61" t="inlineStr">
        <is>
          <t>Điện</t>
        </is>
      </c>
      <c r="C61" t="inlineStr">
        <is>
          <t>TCA9548A</t>
        </is>
      </c>
      <c r="D61" t="inlineStr">
        <is>
          <t>Mux I2C TCA9548A</t>
        </is>
      </c>
      <c r="E61" t="inlineStr"/>
      <c r="F61" t="n">
        <v>1</v>
      </c>
      <c r="G61" t="inlineStr">
        <is>
          <t>cái</t>
        </is>
      </c>
      <c r="H61" s="3" t="n"/>
      <c r="I61" s="4" t="n">
        <v>70000</v>
      </c>
      <c r="J61" s="4">
        <f>F61*I61</f>
        <v/>
      </c>
      <c r="K61" t="inlineStr">
        <is>
          <t>Cho 4 ToF cùng địa chỉ</t>
        </is>
      </c>
    </row>
    <row r="62">
      <c r="A62" t="n">
        <v>58</v>
      </c>
      <c r="B62" t="inlineStr">
        <is>
          <t>Điện</t>
        </is>
      </c>
      <c r="C62" t="inlineStr">
        <is>
          <t>RELAY-DB</t>
        </is>
      </c>
      <c r="D62" t="inlineStr">
        <is>
          <t>Relay phanh động (fail-safe hạ cửa)</t>
        </is>
      </c>
      <c r="E62" t="inlineStr"/>
      <c r="F62" t="n">
        <v>2</v>
      </c>
      <c r="G62" t="inlineStr">
        <is>
          <t>cái</t>
        </is>
      </c>
      <c r="H62" s="3" t="n"/>
      <c r="I62" s="4" t="n">
        <v>60000</v>
      </c>
      <c r="J62" s="4">
        <f>F62*I62</f>
        <v/>
      </c>
      <c r="K62" t="inlineStr"/>
    </row>
    <row r="63">
      <c r="A63" t="n">
        <v>59</v>
      </c>
      <c r="B63" t="inlineStr">
        <is>
          <t>Điện</t>
        </is>
      </c>
      <c r="C63" t="inlineStr">
        <is>
          <t>ESTOP</t>
        </is>
      </c>
      <c r="D63" t="inlineStr">
        <is>
          <t>Nút dừng khẩn + cắt nguồn motor</t>
        </is>
      </c>
      <c r="E63" t="inlineStr"/>
      <c r="F63" t="n">
        <v>1</v>
      </c>
      <c r="G63" t="inlineStr">
        <is>
          <t>cái</t>
        </is>
      </c>
      <c r="H63" s="3" t="n"/>
      <c r="I63" s="4" t="n">
        <v>180000</v>
      </c>
      <c r="J63" s="4">
        <f>F63*I63</f>
        <v/>
      </c>
      <c r="K63" t="inlineStr"/>
    </row>
    <row r="64">
      <c r="A64" t="n">
        <v>60</v>
      </c>
      <c r="B64" t="inlineStr">
        <is>
          <t>Điện</t>
        </is>
      </c>
      <c r="C64" t="inlineStr">
        <is>
          <t>WIRING</t>
        </is>
      </c>
      <c r="D64" t="inlineStr">
        <is>
          <t>Dây, đầu cos, kết nối, ống gen</t>
        </is>
      </c>
      <c r="E64" t="inlineStr"/>
      <c r="F64" t="n">
        <v>1</v>
      </c>
      <c r="G64" t="inlineStr">
        <is>
          <t>bộ</t>
        </is>
      </c>
      <c r="H64" s="3" t="n"/>
      <c r="I64" s="4" t="n">
        <v>450000</v>
      </c>
      <c r="J64" s="4">
        <f>F64*I64</f>
        <v/>
      </c>
      <c r="K64" t="inlineStr"/>
    </row>
    <row r="65">
      <c r="A65" t="n">
        <v>61</v>
      </c>
      <c r="B65" t="inlineStr">
        <is>
          <t>Điện</t>
        </is>
      </c>
      <c r="C65" t="inlineStr">
        <is>
          <t>LED-DRV</t>
        </is>
      </c>
      <c r="D65" t="inlineStr">
        <is>
          <t>Driver LED RevB (2 kênh) - theo QC_DRIVER_REVB</t>
        </is>
      </c>
      <c r="E65" t="inlineStr"/>
      <c r="F65" t="n">
        <v>2</v>
      </c>
      <c r="G65" t="inlineStr">
        <is>
          <t>cái</t>
        </is>
      </c>
      <c r="H65" s="3" t="n"/>
      <c r="I65" s="4" t="n">
        <v>1500000</v>
      </c>
      <c r="J65" s="4">
        <f>F65*I65</f>
        <v/>
      </c>
      <c r="K65" t="inlineStr">
        <is>
          <t>Đang HOLD theo QC_DRIVER_REVB_V15; giá ước tính</t>
        </is>
      </c>
    </row>
    <row r="66">
      <c r="A66" t="n">
        <v>62</v>
      </c>
      <c r="B66" t="inlineStr">
        <is>
          <t>Lắp ráp</t>
        </is>
      </c>
      <c r="C66" t="inlineStr">
        <is>
          <t>SPRAY</t>
        </is>
      </c>
      <c r="D66" t="inlineStr">
        <is>
          <t>Sơn đen nhám trong buồng / vật tư phụ</t>
        </is>
      </c>
      <c r="E66" t="inlineStr"/>
      <c r="F66" t="n">
        <v>1</v>
      </c>
      <c r="G66" t="inlineStr">
        <is>
          <t>bộ</t>
        </is>
      </c>
      <c r="H66" s="3" t="n"/>
      <c r="I66" s="4" t="n">
        <v>200000</v>
      </c>
      <c r="J66" s="4">
        <f>F66*I66</f>
        <v/>
      </c>
      <c r="K66" t="inlineStr"/>
    </row>
    <row r="68">
      <c r="I68" s="5" t="inlineStr">
        <is>
          <t>TỔNG CỘNG (chưa VAT)</t>
        </is>
      </c>
      <c r="J68" s="6">
        <f>SUM(J5:J66)</f>
        <v/>
      </c>
    </row>
    <row r="69">
      <c r="I69" s="5" t="inlineStr">
        <is>
          <t xml:space="preserve">  trong đó Camera + ống kính + LED</t>
        </is>
      </c>
      <c r="J69" s="6">
        <f>SUMIF(B5:B66,"Camera",J5:J66)+SUMIF(B5:B66,"Chiếu sáng",J5:J66)</f>
        <v/>
      </c>
    </row>
    <row r="70">
      <c r="I70" s="5" t="inlineStr">
        <is>
          <t xml:space="preserve">  Phần cơ khí + điện còn lại</t>
        </is>
      </c>
      <c r="J70" s="6">
        <f>J68-J69</f>
        <v/>
      </c>
    </row>
    <row r="71">
      <c r="I71" s="5" t="inlineStr">
        <is>
          <t>Dự phòng 10%</t>
        </is>
      </c>
      <c r="J71" s="6">
        <f>J68*0.1</f>
        <v/>
      </c>
    </row>
    <row r="72">
      <c r="I72" s="5" t="inlineStr">
        <is>
          <t>TỔNG DỰ TOÁN CÓ DỰ PHÒNG</t>
        </is>
      </c>
      <c r="J72" s="6">
        <f>J68+J71</f>
        <v/>
      </c>
    </row>
    <row r="74">
      <c r="A74" t="inlineStr">
        <is>
          <t>Giả định in 3D: PETG-CF ρ=1.27 g/cm³, hệ số đặc 55%, 1,200 VND/g (vật liệu+máy+điện). Đã bao gồm tấm in kích thước ≤ 256 mm.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Mã</t>
        </is>
      </c>
      <c r="B1" s="5" t="inlineStr">
        <is>
          <t>Chiều dài (mm)</t>
        </is>
      </c>
      <c r="C1" s="5" t="inlineStr">
        <is>
          <t>Số lượng</t>
        </is>
      </c>
      <c r="D1" s="5" t="inlineStr">
        <is>
          <t>Tổng (mm)</t>
        </is>
      </c>
    </row>
    <row r="2">
      <c r="A2" t="inlineStr">
        <is>
          <t>2020-L57</t>
        </is>
      </c>
      <c r="B2" t="n">
        <v>57</v>
      </c>
      <c r="C2" t="n">
        <v>8</v>
      </c>
      <c r="D2">
        <f>B2*C2</f>
        <v/>
      </c>
    </row>
    <row r="3">
      <c r="A3" t="inlineStr">
        <is>
          <t>2020-L82</t>
        </is>
      </c>
      <c r="B3" t="n">
        <v>82</v>
      </c>
      <c r="C3" t="n">
        <v>1</v>
      </c>
      <c r="D3">
        <f>B3*C3</f>
        <v/>
      </c>
    </row>
    <row r="4">
      <c r="A4" t="inlineStr">
        <is>
          <t>2020-L151</t>
        </is>
      </c>
      <c r="B4" t="n">
        <v>151</v>
      </c>
      <c r="C4" t="n">
        <v>2</v>
      </c>
      <c r="D4">
        <f>B4*C4</f>
        <v/>
      </c>
    </row>
    <row r="5">
      <c r="A5" t="inlineStr">
        <is>
          <t>2020-L152</t>
        </is>
      </c>
      <c r="B5" t="n">
        <v>152</v>
      </c>
      <c r="C5" t="n">
        <v>2</v>
      </c>
      <c r="D5">
        <f>B5*C5</f>
        <v/>
      </c>
    </row>
    <row r="6">
      <c r="A6" t="inlineStr">
        <is>
          <t>2020-L163</t>
        </is>
      </c>
      <c r="B6" t="n">
        <v>163</v>
      </c>
      <c r="C6" t="n">
        <v>2</v>
      </c>
      <c r="D6">
        <f>B6*C6</f>
        <v/>
      </c>
    </row>
    <row r="7">
      <c r="A7" t="inlineStr">
        <is>
          <t>2020-L202</t>
        </is>
      </c>
      <c r="B7" t="n">
        <v>202</v>
      </c>
      <c r="C7" t="n">
        <v>5</v>
      </c>
      <c r="D7">
        <f>B7*C7</f>
        <v/>
      </c>
    </row>
    <row r="8">
      <c r="A8" t="inlineStr">
        <is>
          <t>2020-L223</t>
        </is>
      </c>
      <c r="B8" t="n">
        <v>223</v>
      </c>
      <c r="C8" t="n">
        <v>2</v>
      </c>
      <c r="D8">
        <f>B8*C8</f>
        <v/>
      </c>
    </row>
    <row r="9">
      <c r="A9" t="inlineStr">
        <is>
          <t>2020-L303</t>
        </is>
      </c>
      <c r="B9" t="n">
        <v>303</v>
      </c>
      <c r="C9" t="n">
        <v>4</v>
      </c>
      <c r="D9">
        <f>B9*C9</f>
        <v/>
      </c>
    </row>
    <row r="10">
      <c r="A10" t="inlineStr">
        <is>
          <t>2020-L400</t>
        </is>
      </c>
      <c r="B10" t="n">
        <v>400</v>
      </c>
      <c r="C10" t="n">
        <v>2</v>
      </c>
      <c r="D10">
        <f>B10*C10</f>
        <v/>
      </c>
    </row>
    <row r="11">
      <c r="A11" t="inlineStr">
        <is>
          <t>2020-L466</t>
        </is>
      </c>
      <c r="B11" t="n">
        <v>466</v>
      </c>
      <c r="C11" t="n">
        <v>16</v>
      </c>
      <c r="D11">
        <f>B11*C11</f>
        <v/>
      </c>
    </row>
    <row r="12">
      <c r="A12" t="inlineStr">
        <is>
          <t>2020-L506</t>
        </is>
      </c>
      <c r="B12" t="n">
        <v>506</v>
      </c>
      <c r="C12" t="n">
        <v>4</v>
      </c>
      <c r="D12">
        <f>B12*C12</f>
        <v/>
      </c>
    </row>
    <row r="13">
      <c r="A13" t="inlineStr">
        <is>
          <t>2020-L646</t>
        </is>
      </c>
      <c r="B13" t="n">
        <v>646</v>
      </c>
      <c r="C13" t="n">
        <v>4</v>
      </c>
      <c r="D13">
        <f>B13*C13</f>
        <v/>
      </c>
    </row>
    <row r="14">
      <c r="A14" t="inlineStr">
        <is>
          <t>2020-L720</t>
        </is>
      </c>
      <c r="B14" t="n">
        <v>720</v>
      </c>
      <c r="C14" t="n">
        <v>4</v>
      </c>
      <c r="D14">
        <f>B14*C14</f>
        <v/>
      </c>
    </row>
    <row r="15">
      <c r="A15" t="inlineStr">
        <is>
          <t>TỔNG</t>
        </is>
      </c>
      <c r="C15">
        <f>SUM(C2:C14)</f>
        <v/>
      </c>
      <c r="D15">
        <f>SUM(D2:D14)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2026-10-10T02:24:42Z</dcterms:created>
  <dcterms:modified xmlns:dcterms="http://purl.org/dc/terms/" xmlns:xsi="http://www.w3.org/2001/XMLSchema-instance" xsi:type="dcterms:W3CDTF">2026-10-10T02:24:42Z</dcterms:modified>
</cp:coreProperties>
</file>